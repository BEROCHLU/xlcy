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xampp\htdocs\xlcy\public\static\remote\"/>
    </mc:Choice>
  </mc:AlternateContent>
  <xr:revisionPtr revIDLastSave="0" documentId="13_ncr:1_{D77E1C3D-6945-4032-9313-110D708091F4}" xr6:coauthVersionLast="47" xr6:coauthVersionMax="47" xr10:uidLastSave="{00000000-0000-0000-0000-000000000000}"/>
  <bookViews>
    <workbookView xWindow="4728" yWindow="996" windowWidth="18048" windowHeight="10896" xr2:uid="{00000000-000D-0000-FFFF-FFFF00000000}"/>
  </bookViews>
  <sheets>
    <sheet name="node" sheetId="1" r:id="rId1"/>
    <sheet name="edge" sheetId="2" r:id="rId2"/>
    <sheet name="option" sheetId="3" r:id="rId3"/>
    <sheet name="Table014 (Page 26)" sheetId="6" r:id="rId4"/>
    <sheet name="Table014 (Page 25)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D6" i="6" l="1"/>
  <c r="C6" i="6"/>
  <c r="B6" i="6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  <c r="D3" i="2" l="1"/>
  <c r="D4" i="2"/>
  <c r="D5" i="2"/>
  <c r="D6" i="2"/>
  <c r="D7" i="2"/>
  <c r="D8" i="2"/>
  <c r="D9" i="2"/>
  <c r="D10" i="2"/>
  <c r="D12" i="2"/>
  <c r="D13" i="2"/>
  <c r="D14" i="2"/>
  <c r="D15" i="2"/>
  <c r="D16" i="2"/>
  <c r="D17" i="2"/>
  <c r="D2" i="2"/>
  <c r="D2" i="6" l="1"/>
  <c r="D3" i="6"/>
  <c r="D4" i="6"/>
  <c r="D5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</calcChain>
</file>

<file path=xl/sharedStrings.xml><?xml version="1.0" encoding="utf-8"?>
<sst xmlns="http://schemas.openxmlformats.org/spreadsheetml/2006/main" count="205" uniqueCount="73">
  <si>
    <t>In millions of USD or shares as applicable, except per share data</t>
  </si>
  <si>
    <t>Q1-2025</t>
  </si>
  <si>
    <t>REVENUES</t>
  </si>
  <si>
    <t>Total automotive revenues</t>
  </si>
  <si>
    <t>Energy generation and storage</t>
  </si>
  <si>
    <t>Services and other</t>
  </si>
  <si>
    <t>COST OF REVENUES</t>
  </si>
  <si>
    <t>Total automotive cost of revenues</t>
  </si>
  <si>
    <t>Gross profit</t>
  </si>
  <si>
    <t>OPERATING EXPENSES</t>
  </si>
  <si>
    <t>Research and development</t>
  </si>
  <si>
    <t>Selling, general and administrative</t>
  </si>
  <si>
    <t>INCOME FROM OPERATIONS</t>
  </si>
  <si>
    <t>Interest income</t>
  </si>
  <si>
    <t>Interest expense</t>
  </si>
  <si>
    <t>INCOME BEFORE INCOME TAXES</t>
  </si>
  <si>
    <t>NET INCOME</t>
  </si>
  <si>
    <t>Restructuring and other</t>
  </si>
  <si>
    <t>source</t>
  </si>
  <si>
    <t>target</t>
  </si>
  <si>
    <t>value</t>
  </si>
  <si>
    <t>label</t>
  </si>
  <si>
    <t>memo</t>
  </si>
  <si>
    <t>css.width</t>
  </si>
  <si>
    <t>css.line-color</t>
  </si>
  <si>
    <t>css.color</t>
  </si>
  <si>
    <t>css.target-arrow-color</t>
  </si>
  <si>
    <t>css.target-arrow-shape</t>
  </si>
  <si>
    <t>css.line-opacity</t>
  </si>
  <si>
    <t>css.text-opacity</t>
  </si>
  <si>
    <t>css.font-size</t>
  </si>
  <si>
    <t>css.line-style</t>
  </si>
  <si>
    <t>Grey</t>
  </si>
  <si>
    <t>Red</t>
  </si>
  <si>
    <t>Energy generation and storage cost</t>
  </si>
  <si>
    <t>Services and other cost</t>
  </si>
  <si>
    <t>Green</t>
  </si>
  <si>
    <t>Provision for income taxes</t>
  </si>
  <si>
    <t>Darkgreen</t>
  </si>
  <si>
    <t>_change</t>
  </si>
  <si>
    <t>_emoji</t>
  </si>
  <si>
    <t>image</t>
  </si>
  <si>
    <t>css.shape</t>
  </si>
  <si>
    <t>css.background-color</t>
  </si>
  <si>
    <t>css.background-opacity</t>
  </si>
  <si>
    <t>css.height</t>
  </si>
  <si>
    <t>💧</t>
  </si>
  <si>
    <t>🌤️</t>
  </si>
  <si>
    <t>🚗</t>
  </si>
  <si>
    <t>Tesla-logo.png</t>
  </si>
  <si>
    <t>Q4-2024</t>
  </si>
  <si>
    <t>NET INCOME</t>
    <phoneticPr fontId="1"/>
  </si>
  <si>
    <t>Provision for income taxes</t>
    <phoneticPr fontId="1"/>
  </si>
  <si>
    <t>INCOME BEFORE INCOME TAXES</t>
    <phoneticPr fontId="1"/>
  </si>
  <si>
    <t>Other income (expense), net</t>
    <phoneticPr fontId="1"/>
  </si>
  <si>
    <t>Total revenues</t>
    <phoneticPr fontId="1"/>
  </si>
  <si>
    <t>change</t>
    <phoneticPr fontId="1"/>
  </si>
  <si>
    <t>Q1-2026</t>
  </si>
  <si>
    <t>Total revenues</t>
  </si>
  <si>
    <t>Other (expense) income, net</t>
    <phoneticPr fontId="1"/>
  </si>
  <si>
    <t>-</t>
    <phoneticPr fontId="1"/>
  </si>
  <si>
    <t>2026-Q1</t>
    <phoneticPr fontId="1"/>
  </si>
  <si>
    <t>node_currency</t>
    <phoneticPr fontId="1"/>
  </si>
  <si>
    <t>edge_currency</t>
    <phoneticPr fontId="1"/>
  </si>
  <si>
    <t>node_unit</t>
    <phoneticPr fontId="1"/>
  </si>
  <si>
    <t>edge_unit</t>
    <phoneticPr fontId="1"/>
  </si>
  <si>
    <t>use_label_merge</t>
    <phoneticPr fontId="1"/>
  </si>
  <si>
    <t>use_scale_width</t>
    <phoneticPr fontId="1"/>
  </si>
  <si>
    <t>use_directed</t>
    <phoneticPr fontId="1"/>
  </si>
  <si>
    <t>tippy_offset_x</t>
    <phoneticPr fontId="1"/>
  </si>
  <si>
    <t>tippy_offset_y</t>
    <phoneticPr fontId="1"/>
  </si>
  <si>
    <t>$</t>
    <phoneticPr fontId="1"/>
  </si>
  <si>
    <t>triangle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</si>
</sst>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3F3F7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6" fillId="2" borderId="2" applyNumberFormat="0" applyAlignment="0" applyProtection="0">
      <alignment vertical="center"/>
    </xf>
  </cellStyleXfs>
  <cellXfs count="13">
    <xf numFmtId="0" fontId="0" fillId="0" borderId="0" xfId="0"/>
    <xf numFmtId="3" fontId="0" fillId="0" borderId="0" xfId="0" applyNumberFormat="1" applyAlignment="1">
      <alignment horizontal="right"/>
    </xf>
    <xf numFmtId="0" fontId="2" fillId="0" borderId="0" xfId="0" applyFont="1"/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4" fillId="0" borderId="0" xfId="0" applyFont="1"/>
    <xf numFmtId="0" fontId="5" fillId="0" borderId="1" xfId="0" applyFont="1" applyBorder="1" applyAlignment="1">
      <alignment horizontal="left"/>
    </xf>
    <xf numFmtId="0" fontId="6" fillId="2" borderId="2" xfId="1" applyAlignment="1"/>
    <xf numFmtId="3" fontId="6" fillId="2" borderId="2" xfId="1" applyNumberFormat="1" applyAlignment="1"/>
  </cellXfs>
  <cellStyles count="2">
    <cellStyle name="入力" xfId="1" builtinId="20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"/>
  <sheetViews>
    <sheetView tabSelected="1" workbookViewId="0">
      <selection activeCell="A20" sqref="A20"/>
    </sheetView>
  </sheetViews>
  <sheetFormatPr defaultColWidth="9" defaultRowHeight="13.2" x14ac:dyDescent="0.2"/>
  <cols>
    <col min="1" max="1" width="32" style="2" bestFit="1" customWidth="1"/>
    <col min="2" max="2" width="7.88671875" style="3" bestFit="1" customWidth="1"/>
    <col min="3" max="3" width="6.21875" style="2" bestFit="1" customWidth="1"/>
    <col min="4" max="4" width="9.44140625" style="2" bestFit="1" customWidth="1"/>
    <col min="5" max="5" width="13.44140625" style="2" bestFit="1" customWidth="1"/>
    <col min="6" max="6" width="9.21875" style="2" bestFit="1" customWidth="1"/>
    <col min="7" max="7" width="8.6640625" style="2" bestFit="1" customWidth="1"/>
    <col min="8" max="8" width="19.44140625" style="2" bestFit="1" customWidth="1"/>
    <col min="9" max="9" width="21.33203125" style="3" bestFit="1" customWidth="1"/>
    <col min="10" max="10" width="12.21875" style="4" bestFit="1" customWidth="1"/>
    <col min="11" max="11" width="8.77734375" style="2" bestFit="1" customWidth="1"/>
    <col min="12" max="12" width="9.44140625" style="2" bestFit="1" customWidth="1"/>
    <col min="13" max="16384" width="9" style="2"/>
  </cols>
  <sheetData>
    <row r="1" spans="1:12" x14ac:dyDescent="0.2">
      <c r="A1" s="2" t="s">
        <v>21</v>
      </c>
      <c r="B1" s="3" t="s">
        <v>39</v>
      </c>
      <c r="C1" s="2" t="s">
        <v>40</v>
      </c>
      <c r="D1" s="2" t="s">
        <v>22</v>
      </c>
      <c r="E1" s="2" t="s">
        <v>41</v>
      </c>
      <c r="F1" s="2" t="s">
        <v>42</v>
      </c>
      <c r="G1" s="2" t="s">
        <v>25</v>
      </c>
      <c r="H1" s="2" t="s">
        <v>43</v>
      </c>
      <c r="I1" s="3" t="s">
        <v>44</v>
      </c>
      <c r="J1" s="4" t="s">
        <v>30</v>
      </c>
      <c r="K1" s="2" t="s">
        <v>23</v>
      </c>
      <c r="L1" s="2" t="s">
        <v>45</v>
      </c>
    </row>
    <row r="2" spans="1:12" ht="14.4" x14ac:dyDescent="0.2">
      <c r="A2" s="2" t="s">
        <v>3</v>
      </c>
      <c r="B2" s="5">
        <v>16.2</v>
      </c>
      <c r="C2" s="6" t="s">
        <v>47</v>
      </c>
      <c r="D2" s="2" t="str">
        <f>B2&amp;"%"&amp;C2</f>
        <v>16.2%🌤️</v>
      </c>
      <c r="H2" s="2" t="s">
        <v>32</v>
      </c>
      <c r="I2" s="5">
        <v>0.9</v>
      </c>
      <c r="J2" s="7">
        <v>30</v>
      </c>
    </row>
    <row r="3" spans="1:12" ht="14.4" x14ac:dyDescent="0.2">
      <c r="A3" s="2" t="s">
        <v>4</v>
      </c>
      <c r="B3" s="5">
        <v>-11.8</v>
      </c>
      <c r="C3" s="6" t="s">
        <v>46</v>
      </c>
      <c r="D3" s="2" t="str">
        <f t="shared" ref="D3:D18" si="0">B3&amp;"%"&amp;C3</f>
        <v>-11.8%💧</v>
      </c>
      <c r="H3" s="2" t="s">
        <v>32</v>
      </c>
      <c r="I3" s="5">
        <v>0.9</v>
      </c>
      <c r="J3" s="7">
        <v>30</v>
      </c>
    </row>
    <row r="4" spans="1:12" ht="14.4" x14ac:dyDescent="0.2">
      <c r="A4" s="2" t="s">
        <v>5</v>
      </c>
      <c r="B4" s="5">
        <v>42</v>
      </c>
      <c r="C4" s="6" t="s">
        <v>47</v>
      </c>
      <c r="D4" s="2" t="str">
        <f t="shared" si="0"/>
        <v>42%🌤️</v>
      </c>
      <c r="H4" s="2" t="s">
        <v>32</v>
      </c>
      <c r="I4" s="5">
        <v>0.9</v>
      </c>
      <c r="J4" s="7">
        <v>30</v>
      </c>
    </row>
    <row r="5" spans="1:12" ht="14.4" x14ac:dyDescent="0.2">
      <c r="A5" s="2" t="s">
        <v>55</v>
      </c>
      <c r="B5" s="5">
        <v>15.8</v>
      </c>
      <c r="C5" s="6" t="s">
        <v>47</v>
      </c>
      <c r="D5" s="2" t="str">
        <f t="shared" si="0"/>
        <v>15.8%🌤️</v>
      </c>
      <c r="H5" s="2" t="s">
        <v>32</v>
      </c>
      <c r="I5" s="5">
        <v>0.9</v>
      </c>
      <c r="J5" s="7">
        <v>30</v>
      </c>
    </row>
    <row r="6" spans="1:12" ht="14.4" x14ac:dyDescent="0.2">
      <c r="A6" s="2" t="s">
        <v>7</v>
      </c>
      <c r="B6" s="5">
        <v>9.5</v>
      </c>
      <c r="C6" s="6" t="s">
        <v>46</v>
      </c>
      <c r="D6" s="2" t="str">
        <f t="shared" si="0"/>
        <v>9.5%💧</v>
      </c>
      <c r="H6" s="2" t="s">
        <v>33</v>
      </c>
      <c r="I6" s="5">
        <v>0.9</v>
      </c>
      <c r="J6" s="7">
        <v>30</v>
      </c>
    </row>
    <row r="7" spans="1:12" ht="14.4" x14ac:dyDescent="0.2">
      <c r="A7" s="2" t="s">
        <v>34</v>
      </c>
      <c r="B7" s="5">
        <v>-25.1</v>
      </c>
      <c r="C7" s="6" t="s">
        <v>47</v>
      </c>
      <c r="D7" s="2" t="str">
        <f t="shared" si="0"/>
        <v>-25.1%🌤️</v>
      </c>
      <c r="H7" s="2" t="s">
        <v>33</v>
      </c>
      <c r="I7" s="5">
        <v>0.9</v>
      </c>
      <c r="J7" s="7">
        <v>30</v>
      </c>
    </row>
    <row r="8" spans="1:12" ht="14.4" x14ac:dyDescent="0.2">
      <c r="A8" s="2" t="s">
        <v>35</v>
      </c>
      <c r="B8" s="5">
        <v>34</v>
      </c>
      <c r="C8" s="6" t="s">
        <v>46</v>
      </c>
      <c r="D8" s="2" t="str">
        <f t="shared" si="0"/>
        <v>34%💧</v>
      </c>
      <c r="H8" s="2" t="s">
        <v>33</v>
      </c>
      <c r="I8" s="5">
        <v>0.9</v>
      </c>
      <c r="J8" s="7">
        <v>30</v>
      </c>
    </row>
    <row r="9" spans="1:12" ht="14.4" x14ac:dyDescent="0.2">
      <c r="A9" s="2" t="s">
        <v>8</v>
      </c>
      <c r="B9" s="5">
        <v>49.7</v>
      </c>
      <c r="C9" s="6" t="s">
        <v>47</v>
      </c>
      <c r="D9" s="2" t="str">
        <f t="shared" si="0"/>
        <v>49.7%🌤️</v>
      </c>
      <c r="H9" s="2" t="s">
        <v>36</v>
      </c>
      <c r="I9" s="5">
        <v>0.9</v>
      </c>
      <c r="J9" s="7">
        <v>30</v>
      </c>
    </row>
    <row r="10" spans="1:12" ht="14.4" x14ac:dyDescent="0.2">
      <c r="A10" s="2" t="s">
        <v>10</v>
      </c>
      <c r="B10" s="5">
        <v>38.1</v>
      </c>
      <c r="C10" s="6" t="s">
        <v>46</v>
      </c>
      <c r="D10" s="2" t="str">
        <f t="shared" si="0"/>
        <v>38.1%💧</v>
      </c>
      <c r="H10" s="2" t="s">
        <v>33</v>
      </c>
      <c r="I10" s="5">
        <v>0.9</v>
      </c>
      <c r="J10" s="7">
        <v>30</v>
      </c>
    </row>
    <row r="11" spans="1:12" ht="14.4" x14ac:dyDescent="0.2">
      <c r="A11" s="2" t="s">
        <v>11</v>
      </c>
      <c r="B11" s="5">
        <v>46.5</v>
      </c>
      <c r="C11" s="6" t="s">
        <v>46</v>
      </c>
      <c r="D11" s="2" t="str">
        <f t="shared" si="0"/>
        <v>46.5%💧</v>
      </c>
      <c r="H11" s="2" t="s">
        <v>33</v>
      </c>
      <c r="I11" s="5">
        <v>0.9</v>
      </c>
      <c r="J11" s="7">
        <v>30</v>
      </c>
    </row>
    <row r="12" spans="1:12" ht="14.4" x14ac:dyDescent="0.2">
      <c r="A12" s="2" t="s">
        <v>12</v>
      </c>
      <c r="B12" s="7">
        <v>135.80000000000001</v>
      </c>
      <c r="C12" s="6" t="s">
        <v>47</v>
      </c>
      <c r="D12" s="2" t="str">
        <f t="shared" si="0"/>
        <v>135.8%🌤️</v>
      </c>
      <c r="H12" s="2" t="s">
        <v>36</v>
      </c>
      <c r="I12" s="5">
        <v>0.9</v>
      </c>
      <c r="J12" s="7">
        <v>30</v>
      </c>
    </row>
    <row r="13" spans="1:12" ht="14.4" x14ac:dyDescent="0.2">
      <c r="A13" s="2" t="s">
        <v>13</v>
      </c>
      <c r="B13" s="5">
        <v>8.5</v>
      </c>
      <c r="C13" s="6" t="s">
        <v>47</v>
      </c>
      <c r="D13" s="2" t="str">
        <f t="shared" si="0"/>
        <v>8.5%🌤️</v>
      </c>
      <c r="H13" s="2" t="s">
        <v>36</v>
      </c>
      <c r="I13" s="5">
        <v>0.9</v>
      </c>
      <c r="J13" s="7">
        <v>30</v>
      </c>
    </row>
    <row r="14" spans="1:12" ht="14.4" x14ac:dyDescent="0.2">
      <c r="A14" s="2" t="s">
        <v>14</v>
      </c>
      <c r="B14" s="5">
        <v>1.1000000000000001</v>
      </c>
      <c r="C14" s="6" t="s">
        <v>46</v>
      </c>
      <c r="D14" s="2" t="str">
        <f t="shared" si="0"/>
        <v>1.1%💧</v>
      </c>
      <c r="H14" s="2" t="s">
        <v>33</v>
      </c>
      <c r="I14" s="5">
        <v>0.9</v>
      </c>
      <c r="J14" s="7">
        <v>30</v>
      </c>
    </row>
    <row r="15" spans="1:12" ht="14.4" x14ac:dyDescent="0.2">
      <c r="A15" s="2" t="s">
        <v>59</v>
      </c>
      <c r="B15" s="7">
        <v>349.6</v>
      </c>
      <c r="C15" s="6" t="s">
        <v>46</v>
      </c>
      <c r="D15" s="2" t="str">
        <f t="shared" si="0"/>
        <v>349.6%💧</v>
      </c>
      <c r="H15" s="2" t="s">
        <v>33</v>
      </c>
      <c r="I15" s="5">
        <v>0.9</v>
      </c>
      <c r="J15" s="7">
        <v>30</v>
      </c>
    </row>
    <row r="16" spans="1:12" ht="14.4" x14ac:dyDescent="0.2">
      <c r="A16" s="2" t="s">
        <v>15</v>
      </c>
      <c r="B16" s="5">
        <v>27</v>
      </c>
      <c r="C16" s="6" t="s">
        <v>47</v>
      </c>
      <c r="D16" s="2" t="str">
        <f t="shared" si="0"/>
        <v>27%🌤️</v>
      </c>
      <c r="H16" s="2" t="s">
        <v>36</v>
      </c>
      <c r="I16" s="5">
        <v>0.9</v>
      </c>
      <c r="J16" s="7">
        <v>30</v>
      </c>
    </row>
    <row r="17" spans="1:10" ht="14.4" x14ac:dyDescent="0.2">
      <c r="A17" s="2" t="s">
        <v>37</v>
      </c>
      <c r="B17" s="5">
        <v>52.1</v>
      </c>
      <c r="C17" s="6" t="s">
        <v>46</v>
      </c>
      <c r="D17" s="2" t="str">
        <f t="shared" si="0"/>
        <v>52.1%💧</v>
      </c>
      <c r="H17" s="2" t="s">
        <v>33</v>
      </c>
      <c r="I17" s="5">
        <v>0.9</v>
      </c>
      <c r="J17" s="7">
        <v>30</v>
      </c>
    </row>
    <row r="18" spans="1:10" ht="14.4" x14ac:dyDescent="0.2">
      <c r="A18" s="2" t="s">
        <v>16</v>
      </c>
      <c r="B18" s="5">
        <v>16.899999999999999</v>
      </c>
      <c r="C18" s="6" t="s">
        <v>47</v>
      </c>
      <c r="D18" s="2" t="str">
        <f t="shared" si="0"/>
        <v>16.9%🌤️</v>
      </c>
      <c r="H18" s="2" t="s">
        <v>38</v>
      </c>
      <c r="I18" s="5">
        <v>0.9</v>
      </c>
      <c r="J18" s="7">
        <v>30</v>
      </c>
    </row>
    <row r="19" spans="1:10" ht="14.4" x14ac:dyDescent="0.2">
      <c r="A19" s="6" t="s">
        <v>48</v>
      </c>
      <c r="D19" s="2" t="s">
        <v>61</v>
      </c>
      <c r="E19" s="2" t="s">
        <v>49</v>
      </c>
      <c r="J19" s="5">
        <v>0.1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17"/>
  <sheetViews>
    <sheetView workbookViewId="0">
      <selection activeCell="A2" sqref="A2"/>
    </sheetView>
  </sheetViews>
  <sheetFormatPr defaultColWidth="9" defaultRowHeight="13.2" x14ac:dyDescent="0.2"/>
  <cols>
    <col min="1" max="1" width="31.21875" style="2" bestFit="1" customWidth="1"/>
    <col min="2" max="2" width="32" style="2" bestFit="1" customWidth="1"/>
    <col min="3" max="4" width="6.88671875" style="8" bestFit="1" customWidth="1"/>
    <col min="5" max="5" width="6.21875" style="2" bestFit="1" customWidth="1"/>
    <col min="6" max="6" width="8.77734375" style="2" bestFit="1" customWidth="1"/>
    <col min="7" max="7" width="12.6640625" style="2" bestFit="1" customWidth="1"/>
    <col min="8" max="8" width="9.6640625" style="2" bestFit="1" customWidth="1"/>
    <col min="9" max="9" width="20.6640625" style="2" bestFit="1" customWidth="1"/>
    <col min="10" max="10" width="21.33203125" style="2" bestFit="1" customWidth="1"/>
    <col min="11" max="11" width="14.33203125" style="4" bestFit="1" customWidth="1"/>
    <col min="12" max="12" width="14.88671875" style="8" bestFit="1" customWidth="1"/>
    <col min="13" max="13" width="12.21875" style="8" bestFit="1" customWidth="1"/>
    <col min="14" max="14" width="12.33203125" style="2" bestFit="1" customWidth="1"/>
    <col min="15" max="16384" width="9" style="2"/>
  </cols>
  <sheetData>
    <row r="1" spans="1:14" x14ac:dyDescent="0.2">
      <c r="A1" s="2" t="s">
        <v>18</v>
      </c>
      <c r="B1" s="2" t="s">
        <v>19</v>
      </c>
      <c r="C1" s="8" t="s">
        <v>20</v>
      </c>
      <c r="D1" s="8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4" t="s">
        <v>28</v>
      </c>
      <c r="L1" s="8" t="s">
        <v>29</v>
      </c>
      <c r="M1" s="8" t="s">
        <v>30</v>
      </c>
      <c r="N1" s="2" t="s">
        <v>31</v>
      </c>
    </row>
    <row r="2" spans="1:14" x14ac:dyDescent="0.2">
      <c r="A2" s="2" t="s">
        <v>3</v>
      </c>
      <c r="B2" s="2" t="s">
        <v>55</v>
      </c>
      <c r="C2" s="7">
        <v>16234</v>
      </c>
      <c r="D2" s="7">
        <f>C2</f>
        <v>16234</v>
      </c>
      <c r="G2" s="2" t="s">
        <v>32</v>
      </c>
      <c r="H2" s="2" t="str">
        <f>G2</f>
        <v>Grey</v>
      </c>
      <c r="I2" s="2" t="str">
        <f>G2</f>
        <v>Grey</v>
      </c>
      <c r="J2" s="2" t="s">
        <v>72</v>
      </c>
      <c r="K2" s="5">
        <v>0.2</v>
      </c>
      <c r="L2" s="7">
        <v>1</v>
      </c>
      <c r="M2" s="7">
        <v>32</v>
      </c>
    </row>
    <row r="3" spans="1:14" x14ac:dyDescent="0.2">
      <c r="A3" s="2" t="s">
        <v>4</v>
      </c>
      <c r="B3" s="2" t="s">
        <v>55</v>
      </c>
      <c r="C3" s="7">
        <v>2408</v>
      </c>
      <c r="D3" s="7">
        <f t="shared" ref="D3:D17" si="0">C3</f>
        <v>2408</v>
      </c>
      <c r="G3" s="2" t="s">
        <v>32</v>
      </c>
      <c r="H3" s="2" t="str">
        <f t="shared" ref="H3:H17" si="1">G3</f>
        <v>Grey</v>
      </c>
      <c r="I3" s="2" t="str">
        <f t="shared" ref="I3:I17" si="2">G3</f>
        <v>Grey</v>
      </c>
      <c r="J3" s="2" t="s">
        <v>72</v>
      </c>
      <c r="K3" s="5">
        <v>0.2</v>
      </c>
      <c r="L3" s="7">
        <v>1</v>
      </c>
      <c r="M3" s="7">
        <v>32</v>
      </c>
    </row>
    <row r="4" spans="1:14" x14ac:dyDescent="0.2">
      <c r="A4" s="2" t="s">
        <v>5</v>
      </c>
      <c r="B4" s="2" t="s">
        <v>55</v>
      </c>
      <c r="C4" s="7">
        <v>3745</v>
      </c>
      <c r="D4" s="7">
        <f t="shared" si="0"/>
        <v>3745</v>
      </c>
      <c r="G4" s="2" t="s">
        <v>32</v>
      </c>
      <c r="H4" s="2" t="str">
        <f t="shared" si="1"/>
        <v>Grey</v>
      </c>
      <c r="I4" s="2" t="str">
        <f t="shared" si="2"/>
        <v>Grey</v>
      </c>
      <c r="J4" s="2" t="s">
        <v>72</v>
      </c>
      <c r="K4" s="5">
        <v>0.2</v>
      </c>
      <c r="L4" s="7">
        <v>1</v>
      </c>
      <c r="M4" s="7">
        <v>32</v>
      </c>
    </row>
    <row r="5" spans="1:14" x14ac:dyDescent="0.2">
      <c r="A5" s="2" t="s">
        <v>55</v>
      </c>
      <c r="B5" s="2" t="s">
        <v>7</v>
      </c>
      <c r="C5" s="7">
        <v>12812</v>
      </c>
      <c r="D5" s="7">
        <f t="shared" si="0"/>
        <v>12812</v>
      </c>
      <c r="G5" s="2" t="s">
        <v>33</v>
      </c>
      <c r="H5" s="2" t="str">
        <f t="shared" si="1"/>
        <v>Red</v>
      </c>
      <c r="I5" s="2" t="str">
        <f t="shared" si="2"/>
        <v>Red</v>
      </c>
      <c r="J5" s="2" t="s">
        <v>72</v>
      </c>
      <c r="K5" s="5">
        <v>0.2</v>
      </c>
      <c r="L5" s="7">
        <v>1</v>
      </c>
      <c r="M5" s="7">
        <v>32</v>
      </c>
    </row>
    <row r="6" spans="1:14" x14ac:dyDescent="0.2">
      <c r="A6" s="2" t="s">
        <v>55</v>
      </c>
      <c r="B6" s="2" t="s">
        <v>34</v>
      </c>
      <c r="C6" s="7">
        <v>1456</v>
      </c>
      <c r="D6" s="7">
        <f t="shared" si="0"/>
        <v>1456</v>
      </c>
      <c r="G6" s="2" t="s">
        <v>33</v>
      </c>
      <c r="H6" s="2" t="str">
        <f t="shared" si="1"/>
        <v>Red</v>
      </c>
      <c r="I6" s="2" t="str">
        <f t="shared" si="2"/>
        <v>Red</v>
      </c>
      <c r="J6" s="2" t="s">
        <v>72</v>
      </c>
      <c r="K6" s="5">
        <v>0.2</v>
      </c>
      <c r="L6" s="7">
        <v>1</v>
      </c>
      <c r="M6" s="7">
        <v>32</v>
      </c>
    </row>
    <row r="7" spans="1:14" x14ac:dyDescent="0.2">
      <c r="A7" s="2" t="s">
        <v>55</v>
      </c>
      <c r="B7" s="2" t="s">
        <v>35</v>
      </c>
      <c r="C7" s="7">
        <v>3399</v>
      </c>
      <c r="D7" s="7">
        <f t="shared" si="0"/>
        <v>3399</v>
      </c>
      <c r="G7" s="2" t="s">
        <v>33</v>
      </c>
      <c r="H7" s="2" t="str">
        <f t="shared" si="1"/>
        <v>Red</v>
      </c>
      <c r="I7" s="2" t="str">
        <f t="shared" si="2"/>
        <v>Red</v>
      </c>
      <c r="J7" s="2" t="s">
        <v>72</v>
      </c>
      <c r="K7" s="5">
        <v>0.2</v>
      </c>
      <c r="L7" s="7">
        <v>1</v>
      </c>
      <c r="M7" s="7">
        <v>32</v>
      </c>
    </row>
    <row r="8" spans="1:14" x14ac:dyDescent="0.2">
      <c r="A8" s="2" t="s">
        <v>55</v>
      </c>
      <c r="B8" s="2" t="s">
        <v>8</v>
      </c>
      <c r="C8" s="7">
        <v>4720</v>
      </c>
      <c r="D8" s="7">
        <f t="shared" si="0"/>
        <v>4720</v>
      </c>
      <c r="G8" s="2" t="s">
        <v>36</v>
      </c>
      <c r="H8" s="2" t="str">
        <f t="shared" si="1"/>
        <v>Green</v>
      </c>
      <c r="I8" s="2" t="str">
        <f t="shared" si="2"/>
        <v>Green</v>
      </c>
      <c r="J8" s="2" t="s">
        <v>72</v>
      </c>
      <c r="K8" s="5">
        <v>0.2</v>
      </c>
      <c r="L8" s="7">
        <v>1</v>
      </c>
      <c r="M8" s="7">
        <v>32</v>
      </c>
    </row>
    <row r="9" spans="1:14" x14ac:dyDescent="0.2">
      <c r="A9" s="2" t="s">
        <v>8</v>
      </c>
      <c r="B9" s="2" t="s">
        <v>10</v>
      </c>
      <c r="C9" s="7">
        <v>1946</v>
      </c>
      <c r="D9" s="7">
        <f t="shared" si="0"/>
        <v>1946</v>
      </c>
      <c r="G9" s="2" t="s">
        <v>33</v>
      </c>
      <c r="H9" s="2" t="str">
        <f t="shared" si="1"/>
        <v>Red</v>
      </c>
      <c r="I9" s="2" t="str">
        <f t="shared" si="2"/>
        <v>Red</v>
      </c>
      <c r="J9" s="2" t="s">
        <v>72</v>
      </c>
      <c r="K9" s="5">
        <v>0.2</v>
      </c>
      <c r="L9" s="7">
        <v>1</v>
      </c>
      <c r="M9" s="7">
        <v>32</v>
      </c>
    </row>
    <row r="10" spans="1:14" x14ac:dyDescent="0.2">
      <c r="A10" s="2" t="s">
        <v>8</v>
      </c>
      <c r="B10" s="2" t="s">
        <v>11</v>
      </c>
      <c r="C10" s="7">
        <v>1833</v>
      </c>
      <c r="D10" s="7">
        <f t="shared" si="0"/>
        <v>1833</v>
      </c>
      <c r="G10" s="2" t="s">
        <v>33</v>
      </c>
      <c r="H10" s="2" t="str">
        <f t="shared" si="1"/>
        <v>Red</v>
      </c>
      <c r="I10" s="2" t="str">
        <f t="shared" si="2"/>
        <v>Red</v>
      </c>
      <c r="J10" s="2" t="s">
        <v>72</v>
      </c>
      <c r="K10" s="5">
        <v>0.2</v>
      </c>
      <c r="L10" s="7">
        <v>1</v>
      </c>
      <c r="M10" s="7">
        <v>32</v>
      </c>
    </row>
    <row r="11" spans="1:14" x14ac:dyDescent="0.2">
      <c r="A11" s="2" t="s">
        <v>8</v>
      </c>
      <c r="B11" s="2" t="s">
        <v>12</v>
      </c>
      <c r="C11" s="7">
        <v>941</v>
      </c>
      <c r="D11" s="7">
        <f t="shared" si="0"/>
        <v>941</v>
      </c>
      <c r="G11" s="2" t="s">
        <v>36</v>
      </c>
      <c r="H11" s="2" t="str">
        <f t="shared" si="1"/>
        <v>Green</v>
      </c>
      <c r="I11" s="2" t="str">
        <f t="shared" si="2"/>
        <v>Green</v>
      </c>
      <c r="J11" s="2" t="s">
        <v>72</v>
      </c>
      <c r="K11" s="5">
        <v>0.2</v>
      </c>
      <c r="L11" s="7">
        <v>1</v>
      </c>
      <c r="M11" s="7">
        <v>32</v>
      </c>
    </row>
    <row r="12" spans="1:14" x14ac:dyDescent="0.2">
      <c r="A12" s="2" t="s">
        <v>13</v>
      </c>
      <c r="B12" s="10" t="s">
        <v>12</v>
      </c>
      <c r="C12" s="7">
        <v>434</v>
      </c>
      <c r="D12" s="7">
        <f t="shared" si="0"/>
        <v>434</v>
      </c>
      <c r="G12" s="2" t="s">
        <v>36</v>
      </c>
      <c r="H12" s="2" t="str">
        <f t="shared" si="1"/>
        <v>Green</v>
      </c>
      <c r="I12" s="2" t="str">
        <f t="shared" si="2"/>
        <v>Green</v>
      </c>
      <c r="J12" s="2" t="s">
        <v>72</v>
      </c>
      <c r="K12" s="5">
        <v>0.2</v>
      </c>
      <c r="L12" s="7">
        <v>1</v>
      </c>
      <c r="M12" s="7">
        <v>32</v>
      </c>
    </row>
    <row r="13" spans="1:14" x14ac:dyDescent="0.2">
      <c r="A13" s="10" t="s">
        <v>12</v>
      </c>
      <c r="B13" s="9" t="s">
        <v>14</v>
      </c>
      <c r="C13" s="7">
        <v>92</v>
      </c>
      <c r="D13" s="7">
        <f t="shared" si="0"/>
        <v>92</v>
      </c>
      <c r="G13" s="2" t="s">
        <v>33</v>
      </c>
      <c r="H13" s="2" t="str">
        <f t="shared" si="1"/>
        <v>Red</v>
      </c>
      <c r="I13" s="2" t="str">
        <f t="shared" si="2"/>
        <v>Red</v>
      </c>
      <c r="J13" s="2" t="s">
        <v>72</v>
      </c>
      <c r="K13" s="5">
        <v>0.2</v>
      </c>
      <c r="L13" s="7">
        <v>1</v>
      </c>
      <c r="M13" s="7">
        <v>32</v>
      </c>
    </row>
    <row r="14" spans="1:14" x14ac:dyDescent="0.2">
      <c r="A14" s="2" t="s">
        <v>12</v>
      </c>
      <c r="B14" s="9" t="s">
        <v>59</v>
      </c>
      <c r="C14" s="7">
        <v>535</v>
      </c>
      <c r="D14" s="7">
        <f t="shared" si="0"/>
        <v>535</v>
      </c>
      <c r="G14" s="2" t="s">
        <v>33</v>
      </c>
      <c r="H14" s="2" t="str">
        <f t="shared" si="1"/>
        <v>Red</v>
      </c>
      <c r="I14" s="2" t="str">
        <f t="shared" si="2"/>
        <v>Red</v>
      </c>
      <c r="J14" s="2" t="s">
        <v>72</v>
      </c>
      <c r="K14" s="5">
        <v>0.2</v>
      </c>
      <c r="L14" s="7">
        <v>1</v>
      </c>
      <c r="M14" s="7">
        <v>32</v>
      </c>
    </row>
    <row r="15" spans="1:14" x14ac:dyDescent="0.2">
      <c r="A15" s="2" t="s">
        <v>12</v>
      </c>
      <c r="B15" s="10" t="s">
        <v>53</v>
      </c>
      <c r="C15" s="7">
        <v>748</v>
      </c>
      <c r="D15" s="7">
        <f t="shared" si="0"/>
        <v>748</v>
      </c>
      <c r="G15" s="2" t="s">
        <v>36</v>
      </c>
      <c r="H15" s="2" t="str">
        <f t="shared" si="1"/>
        <v>Green</v>
      </c>
      <c r="I15" s="2" t="str">
        <f t="shared" si="2"/>
        <v>Green</v>
      </c>
      <c r="J15" s="2" t="s">
        <v>72</v>
      </c>
      <c r="K15" s="5">
        <v>0.2</v>
      </c>
      <c r="L15" s="7">
        <v>1</v>
      </c>
      <c r="M15" s="7">
        <v>32</v>
      </c>
    </row>
    <row r="16" spans="1:14" x14ac:dyDescent="0.2">
      <c r="A16" s="2" t="s">
        <v>15</v>
      </c>
      <c r="B16" s="2" t="s">
        <v>37</v>
      </c>
      <c r="C16" s="7">
        <v>257</v>
      </c>
      <c r="D16" s="7">
        <f t="shared" si="0"/>
        <v>257</v>
      </c>
      <c r="G16" s="2" t="s">
        <v>33</v>
      </c>
      <c r="H16" s="2" t="str">
        <f t="shared" si="1"/>
        <v>Red</v>
      </c>
      <c r="I16" s="2" t="str">
        <f t="shared" si="2"/>
        <v>Red</v>
      </c>
      <c r="J16" s="2" t="s">
        <v>72</v>
      </c>
      <c r="K16" s="5">
        <v>0.2</v>
      </c>
      <c r="L16" s="7">
        <v>1</v>
      </c>
      <c r="M16" s="7">
        <v>32</v>
      </c>
    </row>
    <row r="17" spans="1:13" x14ac:dyDescent="0.2">
      <c r="A17" s="2" t="s">
        <v>15</v>
      </c>
      <c r="B17" s="2" t="s">
        <v>16</v>
      </c>
      <c r="C17" s="8">
        <v>491</v>
      </c>
      <c r="D17" s="7">
        <f t="shared" si="0"/>
        <v>491</v>
      </c>
      <c r="G17" s="2" t="s">
        <v>38</v>
      </c>
      <c r="H17" s="2" t="str">
        <f t="shared" si="1"/>
        <v>Darkgreen</v>
      </c>
      <c r="I17" s="2" t="str">
        <f t="shared" si="2"/>
        <v>Darkgreen</v>
      </c>
      <c r="J17" s="2" t="s">
        <v>72</v>
      </c>
      <c r="K17" s="4">
        <v>0.2</v>
      </c>
      <c r="L17" s="8">
        <v>1</v>
      </c>
      <c r="M17" s="8">
        <v>32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2"/>
  <sheetViews>
    <sheetView workbookViewId="0">
      <selection activeCell="G3" sqref="G3"/>
    </sheetView>
  </sheetViews>
  <sheetFormatPr defaultRowHeight="13.2" x14ac:dyDescent="0.2"/>
  <cols>
    <col min="1" max="1" width="13.77734375" bestFit="1" customWidth="1"/>
    <col min="2" max="2" width="13.6640625" bestFit="1" customWidth="1"/>
    <col min="3" max="3" width="9.21875" bestFit="1" customWidth="1"/>
    <col min="4" max="4" width="9.109375" bestFit="1" customWidth="1"/>
    <col min="5" max="5" width="14.88671875" bestFit="1" customWidth="1"/>
    <col min="6" max="6" width="14.77734375" bestFit="1" customWidth="1"/>
    <col min="7" max="7" width="11.88671875" style="1" bestFit="1" customWidth="1"/>
    <col min="8" max="8" width="12.5546875" bestFit="1" customWidth="1"/>
    <col min="9" max="9" width="12.6640625" bestFit="1" customWidth="1"/>
  </cols>
  <sheetData>
    <row r="1" spans="1:9" ht="18.75" customHeight="1" x14ac:dyDescent="0.2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</row>
    <row r="2" spans="1:9" ht="18.75" customHeight="1" x14ac:dyDescent="0.2">
      <c r="A2" t="s">
        <v>71</v>
      </c>
      <c r="E2" t="b">
        <v>1</v>
      </c>
      <c r="F2" t="b">
        <v>1</v>
      </c>
      <c r="G2" t="b">
        <v>1</v>
      </c>
      <c r="H2">
        <v>0</v>
      </c>
      <c r="I2">
        <v>15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FDDE-617B-439A-BE51-DFE3B490ECAE}">
  <dimension ref="A1:D22"/>
  <sheetViews>
    <sheetView workbookViewId="0">
      <selection activeCell="E1" sqref="E1"/>
    </sheetView>
  </sheetViews>
  <sheetFormatPr defaultRowHeight="13.2" x14ac:dyDescent="0.2"/>
  <cols>
    <col min="1" max="1" width="66.88671875" bestFit="1" customWidth="1"/>
    <col min="2" max="4" width="10" bestFit="1" customWidth="1"/>
  </cols>
  <sheetData>
    <row r="1" spans="1:4" x14ac:dyDescent="0.2">
      <c r="A1" s="11" t="s">
        <v>0</v>
      </c>
      <c r="B1" s="11" t="s">
        <v>50</v>
      </c>
      <c r="C1" s="11" t="s">
        <v>1</v>
      </c>
      <c r="D1" s="11" t="s">
        <v>56</v>
      </c>
    </row>
    <row r="2" spans="1:4" x14ac:dyDescent="0.2">
      <c r="A2" s="11" t="s">
        <v>2</v>
      </c>
      <c r="B2" s="11"/>
      <c r="C2" s="11"/>
      <c r="D2" s="11" t="e">
        <f t="shared" ref="D2:D22" si="0">ROUND((C2-B2)/B2*100,1)</f>
        <v>#DIV/0!</v>
      </c>
    </row>
    <row r="3" spans="1:4" x14ac:dyDescent="0.2">
      <c r="A3" s="11" t="s">
        <v>3</v>
      </c>
      <c r="B3" s="11">
        <v>19798</v>
      </c>
      <c r="C3" s="12">
        <v>13967</v>
      </c>
      <c r="D3" s="11">
        <f t="shared" si="0"/>
        <v>-29.5</v>
      </c>
    </row>
    <row r="4" spans="1:4" x14ac:dyDescent="0.2">
      <c r="A4" s="11" t="s">
        <v>4</v>
      </c>
      <c r="B4" s="11">
        <v>3061</v>
      </c>
      <c r="C4" s="12">
        <v>2730</v>
      </c>
      <c r="D4" s="11">
        <f t="shared" si="0"/>
        <v>-10.8</v>
      </c>
    </row>
    <row r="5" spans="1:4" x14ac:dyDescent="0.2">
      <c r="A5" s="11" t="s">
        <v>5</v>
      </c>
      <c r="B5" s="11">
        <v>2848</v>
      </c>
      <c r="C5" s="12">
        <v>2638</v>
      </c>
      <c r="D5" s="11">
        <f t="shared" si="0"/>
        <v>-7.4</v>
      </c>
    </row>
    <row r="6" spans="1:4" x14ac:dyDescent="0.2">
      <c r="A6" s="11" t="s">
        <v>55</v>
      </c>
      <c r="B6" s="11">
        <f>SUM(B3:B5)</f>
        <v>25707</v>
      </c>
      <c r="C6" s="11">
        <f>SUM(C3:C5)</f>
        <v>19335</v>
      </c>
      <c r="D6" s="11">
        <f t="shared" si="0"/>
        <v>-24.8</v>
      </c>
    </row>
    <row r="7" spans="1:4" x14ac:dyDescent="0.2">
      <c r="A7" s="11" t="s">
        <v>6</v>
      </c>
      <c r="B7" s="11"/>
      <c r="C7" s="11"/>
      <c r="D7" s="11"/>
    </row>
    <row r="8" spans="1:4" x14ac:dyDescent="0.2">
      <c r="A8" s="11" t="s">
        <v>7</v>
      </c>
      <c r="B8" s="11">
        <v>16510</v>
      </c>
      <c r="C8" s="12">
        <v>11700</v>
      </c>
      <c r="D8" s="11">
        <f t="shared" si="0"/>
        <v>-29.1</v>
      </c>
    </row>
    <row r="9" spans="1:4" x14ac:dyDescent="0.2">
      <c r="A9" s="11" t="s">
        <v>4</v>
      </c>
      <c r="B9" s="11">
        <v>2289</v>
      </c>
      <c r="C9" s="12">
        <v>1945</v>
      </c>
      <c r="D9" s="11">
        <f t="shared" si="0"/>
        <v>-15</v>
      </c>
    </row>
    <row r="10" spans="1:4" x14ac:dyDescent="0.2">
      <c r="A10" s="11" t="s">
        <v>5</v>
      </c>
      <c r="B10" s="11">
        <v>2729</v>
      </c>
      <c r="C10" s="12">
        <v>2537</v>
      </c>
      <c r="D10" s="11">
        <f t="shared" si="0"/>
        <v>-7</v>
      </c>
    </row>
    <row r="11" spans="1:4" x14ac:dyDescent="0.2">
      <c r="A11" s="11" t="s">
        <v>8</v>
      </c>
      <c r="B11" s="11">
        <v>4179</v>
      </c>
      <c r="C11" s="12">
        <v>3153</v>
      </c>
      <c r="D11" s="11">
        <f t="shared" si="0"/>
        <v>-24.6</v>
      </c>
    </row>
    <row r="12" spans="1:4" x14ac:dyDescent="0.2">
      <c r="A12" s="11" t="s">
        <v>9</v>
      </c>
      <c r="B12" s="11"/>
      <c r="C12" s="11"/>
      <c r="D12" s="11" t="e">
        <f t="shared" si="0"/>
        <v>#DIV/0!</v>
      </c>
    </row>
    <row r="13" spans="1:4" x14ac:dyDescent="0.2">
      <c r="A13" s="11" t="s">
        <v>10</v>
      </c>
      <c r="B13" s="11">
        <v>1276</v>
      </c>
      <c r="C13" s="12">
        <v>1409</v>
      </c>
      <c r="D13" s="11">
        <f t="shared" si="0"/>
        <v>10.4</v>
      </c>
    </row>
    <row r="14" spans="1:4" x14ac:dyDescent="0.2">
      <c r="A14" s="11" t="s">
        <v>11</v>
      </c>
      <c r="B14" s="11">
        <v>1313</v>
      </c>
      <c r="C14" s="12">
        <v>1251</v>
      </c>
      <c r="D14" s="11">
        <f t="shared" si="0"/>
        <v>-4.7</v>
      </c>
    </row>
    <row r="15" spans="1:4" x14ac:dyDescent="0.2">
      <c r="A15" s="11" t="s">
        <v>17</v>
      </c>
      <c r="B15" s="11">
        <v>7</v>
      </c>
      <c r="C15" s="11">
        <v>94</v>
      </c>
      <c r="D15" s="11">
        <f t="shared" si="0"/>
        <v>1242.9000000000001</v>
      </c>
    </row>
    <row r="16" spans="1:4" x14ac:dyDescent="0.2">
      <c r="A16" s="11" t="s">
        <v>12</v>
      </c>
      <c r="B16" s="11">
        <v>1583</v>
      </c>
      <c r="C16" s="11">
        <v>399</v>
      </c>
      <c r="D16" s="11">
        <f t="shared" si="0"/>
        <v>-74.8</v>
      </c>
    </row>
    <row r="17" spans="1:4" x14ac:dyDescent="0.2">
      <c r="A17" s="11" t="s">
        <v>13</v>
      </c>
      <c r="B17" s="11">
        <v>442</v>
      </c>
      <c r="C17" s="11">
        <v>400</v>
      </c>
      <c r="D17" s="11">
        <f t="shared" si="0"/>
        <v>-9.5</v>
      </c>
    </row>
    <row r="18" spans="1:4" x14ac:dyDescent="0.2">
      <c r="A18" s="11" t="s">
        <v>14</v>
      </c>
      <c r="B18" s="11">
        <v>-96</v>
      </c>
      <c r="C18" s="11">
        <v>-91</v>
      </c>
      <c r="D18" s="11">
        <f t="shared" si="0"/>
        <v>-5.2</v>
      </c>
    </row>
    <row r="19" spans="1:4" x14ac:dyDescent="0.2">
      <c r="A19" s="11" t="s">
        <v>54</v>
      </c>
      <c r="B19" s="11">
        <v>595</v>
      </c>
      <c r="C19" s="11">
        <v>-119</v>
      </c>
      <c r="D19" s="11">
        <f t="shared" si="0"/>
        <v>-120</v>
      </c>
    </row>
    <row r="20" spans="1:4" x14ac:dyDescent="0.2">
      <c r="A20" s="11" t="s">
        <v>53</v>
      </c>
      <c r="B20" s="11">
        <v>2524</v>
      </c>
      <c r="C20" s="11">
        <v>589</v>
      </c>
      <c r="D20" s="11">
        <f t="shared" si="0"/>
        <v>-76.7</v>
      </c>
    </row>
    <row r="21" spans="1:4" x14ac:dyDescent="0.2">
      <c r="A21" s="11" t="s">
        <v>52</v>
      </c>
      <c r="B21" s="11">
        <v>381</v>
      </c>
      <c r="C21" s="11">
        <v>169</v>
      </c>
      <c r="D21" s="11">
        <f t="shared" si="0"/>
        <v>-55.6</v>
      </c>
    </row>
    <row r="22" spans="1:4" x14ac:dyDescent="0.2">
      <c r="A22" s="11" t="s">
        <v>51</v>
      </c>
      <c r="B22" s="11">
        <v>2143</v>
      </c>
      <c r="C22" s="11">
        <v>420</v>
      </c>
      <c r="D22" s="11">
        <f t="shared" si="0"/>
        <v>-80.400000000000006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D5EE-A171-48BA-BE42-B450A1C8CA38}">
  <dimension ref="A1:D22"/>
  <sheetViews>
    <sheetView workbookViewId="0">
      <selection activeCell="C11" sqref="C11"/>
    </sheetView>
  </sheetViews>
  <sheetFormatPr defaultRowHeight="13.2" x14ac:dyDescent="0.2"/>
  <cols>
    <col min="1" max="1" width="67.109375" bestFit="1" customWidth="1"/>
    <col min="2" max="4" width="9.77734375" bestFit="1" customWidth="1"/>
  </cols>
  <sheetData>
    <row r="1" spans="1:4" x14ac:dyDescent="0.2">
      <c r="A1" s="11" t="s">
        <v>0</v>
      </c>
      <c r="B1" s="11" t="s">
        <v>1</v>
      </c>
      <c r="C1" s="11" t="s">
        <v>57</v>
      </c>
      <c r="D1" s="11" t="s">
        <v>56</v>
      </c>
    </row>
    <row r="2" spans="1:4" x14ac:dyDescent="0.2">
      <c r="A2" s="11" t="s">
        <v>2</v>
      </c>
      <c r="B2" s="11"/>
      <c r="C2" s="11"/>
      <c r="D2" s="11" t="e">
        <f t="shared" ref="D2:D22" si="0">ROUND((C2-B2)/B2*100,1)</f>
        <v>#DIV/0!</v>
      </c>
    </row>
    <row r="3" spans="1:4" x14ac:dyDescent="0.2">
      <c r="A3" s="11" t="s">
        <v>3</v>
      </c>
      <c r="B3" s="11">
        <v>13967</v>
      </c>
      <c r="C3" s="12">
        <v>16234</v>
      </c>
      <c r="D3" s="11">
        <f t="shared" si="0"/>
        <v>16.2</v>
      </c>
    </row>
    <row r="4" spans="1:4" x14ac:dyDescent="0.2">
      <c r="A4" s="11" t="s">
        <v>4</v>
      </c>
      <c r="B4" s="11">
        <v>2730</v>
      </c>
      <c r="C4" s="12">
        <v>2408</v>
      </c>
      <c r="D4" s="11">
        <f t="shared" si="0"/>
        <v>-11.8</v>
      </c>
    </row>
    <row r="5" spans="1:4" x14ac:dyDescent="0.2">
      <c r="A5" s="11" t="s">
        <v>5</v>
      </c>
      <c r="B5" s="11">
        <v>2638</v>
      </c>
      <c r="C5" s="12">
        <v>3745</v>
      </c>
      <c r="D5" s="11">
        <f t="shared" si="0"/>
        <v>42</v>
      </c>
    </row>
    <row r="6" spans="1:4" x14ac:dyDescent="0.2">
      <c r="A6" s="11" t="s">
        <v>58</v>
      </c>
      <c r="B6" s="11">
        <v>19335</v>
      </c>
      <c r="C6" s="12">
        <v>22387</v>
      </c>
      <c r="D6" s="11">
        <f t="shared" si="0"/>
        <v>15.8</v>
      </c>
    </row>
    <row r="7" spans="1:4" x14ac:dyDescent="0.2">
      <c r="A7" s="11" t="s">
        <v>6</v>
      </c>
      <c r="B7" s="11"/>
      <c r="C7" s="11"/>
      <c r="D7" s="11" t="e">
        <f t="shared" si="0"/>
        <v>#DIV/0!</v>
      </c>
    </row>
    <row r="8" spans="1:4" x14ac:dyDescent="0.2">
      <c r="A8" s="11" t="s">
        <v>7</v>
      </c>
      <c r="B8" s="11">
        <v>11700</v>
      </c>
      <c r="C8" s="12">
        <v>12812</v>
      </c>
      <c r="D8" s="11">
        <f t="shared" si="0"/>
        <v>9.5</v>
      </c>
    </row>
    <row r="9" spans="1:4" x14ac:dyDescent="0.2">
      <c r="A9" s="11" t="s">
        <v>4</v>
      </c>
      <c r="B9" s="11">
        <v>1945</v>
      </c>
      <c r="C9" s="12">
        <v>1456</v>
      </c>
      <c r="D9" s="11">
        <f t="shared" si="0"/>
        <v>-25.1</v>
      </c>
    </row>
    <row r="10" spans="1:4" x14ac:dyDescent="0.2">
      <c r="A10" s="11" t="s">
        <v>5</v>
      </c>
      <c r="B10" s="11">
        <v>2537</v>
      </c>
      <c r="C10" s="12">
        <v>3399</v>
      </c>
      <c r="D10" s="11">
        <f t="shared" si="0"/>
        <v>34</v>
      </c>
    </row>
    <row r="11" spans="1:4" x14ac:dyDescent="0.2">
      <c r="A11" s="11" t="s">
        <v>8</v>
      </c>
      <c r="B11" s="11">
        <v>3153</v>
      </c>
      <c r="C11" s="12">
        <v>4720</v>
      </c>
      <c r="D11" s="11">
        <f t="shared" si="0"/>
        <v>49.7</v>
      </c>
    </row>
    <row r="12" spans="1:4" x14ac:dyDescent="0.2">
      <c r="A12" s="11" t="s">
        <v>9</v>
      </c>
      <c r="B12" s="11"/>
      <c r="C12" s="11"/>
      <c r="D12" s="11" t="e">
        <f t="shared" si="0"/>
        <v>#DIV/0!</v>
      </c>
    </row>
    <row r="13" spans="1:4" x14ac:dyDescent="0.2">
      <c r="A13" s="11" t="s">
        <v>10</v>
      </c>
      <c r="B13" s="11">
        <v>1409</v>
      </c>
      <c r="C13" s="12">
        <v>1946</v>
      </c>
      <c r="D13" s="11">
        <f t="shared" si="0"/>
        <v>38.1</v>
      </c>
    </row>
    <row r="14" spans="1:4" x14ac:dyDescent="0.2">
      <c r="A14" s="11" t="s">
        <v>11</v>
      </c>
      <c r="B14" s="11">
        <v>1251</v>
      </c>
      <c r="C14" s="12">
        <v>1833</v>
      </c>
      <c r="D14" s="11">
        <f t="shared" si="0"/>
        <v>46.5</v>
      </c>
    </row>
    <row r="15" spans="1:4" x14ac:dyDescent="0.2">
      <c r="A15" s="11" t="s">
        <v>17</v>
      </c>
      <c r="B15" s="11">
        <v>94</v>
      </c>
      <c r="C15" s="11" t="s">
        <v>60</v>
      </c>
      <c r="D15" s="11" t="e">
        <f t="shared" si="0"/>
        <v>#VALUE!</v>
      </c>
    </row>
    <row r="16" spans="1:4" x14ac:dyDescent="0.2">
      <c r="A16" s="11" t="s">
        <v>12</v>
      </c>
      <c r="B16" s="11">
        <v>399</v>
      </c>
      <c r="C16" s="11">
        <v>941</v>
      </c>
      <c r="D16" s="11">
        <f t="shared" si="0"/>
        <v>135.80000000000001</v>
      </c>
    </row>
    <row r="17" spans="1:4" x14ac:dyDescent="0.2">
      <c r="A17" s="11" t="s">
        <v>13</v>
      </c>
      <c r="B17" s="11">
        <v>400</v>
      </c>
      <c r="C17" s="11">
        <v>434</v>
      </c>
      <c r="D17" s="11">
        <f t="shared" si="0"/>
        <v>8.5</v>
      </c>
    </row>
    <row r="18" spans="1:4" x14ac:dyDescent="0.2">
      <c r="A18" s="11" t="s">
        <v>14</v>
      </c>
      <c r="B18" s="11">
        <v>-91</v>
      </c>
      <c r="C18" s="11">
        <v>-92</v>
      </c>
      <c r="D18" s="11">
        <f t="shared" si="0"/>
        <v>1.1000000000000001</v>
      </c>
    </row>
    <row r="19" spans="1:4" x14ac:dyDescent="0.2">
      <c r="A19" s="11" t="s">
        <v>59</v>
      </c>
      <c r="B19" s="11">
        <v>-119</v>
      </c>
      <c r="C19" s="11">
        <v>-535</v>
      </c>
      <c r="D19" s="11">
        <f t="shared" si="0"/>
        <v>349.6</v>
      </c>
    </row>
    <row r="20" spans="1:4" x14ac:dyDescent="0.2">
      <c r="A20" s="11" t="s">
        <v>15</v>
      </c>
      <c r="B20" s="11">
        <v>589</v>
      </c>
      <c r="C20" s="11">
        <v>748</v>
      </c>
      <c r="D20" s="11">
        <f t="shared" si="0"/>
        <v>27</v>
      </c>
    </row>
    <row r="21" spans="1:4" x14ac:dyDescent="0.2">
      <c r="A21" s="11" t="s">
        <v>37</v>
      </c>
      <c r="B21" s="11">
        <v>169</v>
      </c>
      <c r="C21" s="11">
        <v>257</v>
      </c>
      <c r="D21" s="11">
        <f t="shared" si="0"/>
        <v>52.1</v>
      </c>
    </row>
    <row r="22" spans="1:4" x14ac:dyDescent="0.2">
      <c r="A22" s="11" t="s">
        <v>16</v>
      </c>
      <c r="B22" s="11">
        <v>420</v>
      </c>
      <c r="C22" s="11">
        <v>491</v>
      </c>
      <c r="D22" s="11">
        <f t="shared" si="0"/>
        <v>16.899999999999999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69CC9B-627D-436D-BFBE-4E5F3465BF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node</vt:lpstr>
      <vt:lpstr>edge</vt:lpstr>
      <vt:lpstr>option</vt:lpstr>
      <vt:lpstr>Table014 (Page 26)</vt:lpstr>
      <vt:lpstr>Table014 (Page 25)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sadaco</dc:creator>
  <cp:lastModifiedBy>M T</cp:lastModifiedBy>
  <dcterms:created xsi:type="dcterms:W3CDTF">2024-07-25T06:27:37Z</dcterms:created>
  <dcterms:modified xsi:type="dcterms:W3CDTF">2026-04-24T08:59:03Z</dcterms:modified>
</cp:coreProperties>
</file>