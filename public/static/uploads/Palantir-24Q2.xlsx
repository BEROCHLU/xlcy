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xlcy\public\static\remote\"/>
    </mc:Choice>
  </mc:AlternateContent>
  <xr:revisionPtr revIDLastSave="0" documentId="13_ncr:1_{A29C7971-6AED-48E3-8753-C1AB3E3284E6}" xr6:coauthVersionLast="47" xr6:coauthVersionMax="47" xr10:uidLastSave="{00000000-0000-0000-0000-000000000000}"/>
  <bookViews>
    <workbookView xWindow="390" yWindow="1290" windowWidth="19965" windowHeight="13875" activeTab="3" xr2:uid="{00000000-000D-0000-FFFF-FFFF00000000}"/>
  </bookViews>
  <sheets>
    <sheet name="node" sheetId="5" r:id="rId1"/>
    <sheet name="edge" sheetId="6" r:id="rId2"/>
    <sheet name="option" sheetId="7" r:id="rId3"/>
    <sheet name="Table007 (Page 4)" sheetId="8" r:id="rId4"/>
    <sheet name="tip" sheetId="1" r:id="rId5"/>
  </sheets>
  <definedNames>
    <definedName name="_xlnm._FilterDatabase" localSheetId="1" hidden="1">edge!$A$1:$B$6</definedName>
    <definedName name="_xlnm._FilterDatabase" localSheetId="0" hidden="1">node!$A$1:$B$4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8" l="1"/>
  <c r="D5" i="8"/>
  <c r="D6" i="8"/>
  <c r="D7" i="8"/>
  <c r="D8" i="8"/>
  <c r="D9" i="8"/>
  <c r="D10" i="8"/>
  <c r="D11" i="8"/>
  <c r="D12" i="8"/>
  <c r="D13" i="8"/>
  <c r="D14" i="8"/>
  <c r="D15" i="8"/>
  <c r="D2" i="8"/>
  <c r="D3" i="8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F14" i="5" l="1"/>
  <c r="D13" i="6"/>
  <c r="G13" i="6"/>
  <c r="H13" i="6"/>
  <c r="D14" i="6"/>
  <c r="G14" i="6"/>
  <c r="H14" i="6"/>
  <c r="F15" i="5"/>
  <c r="F7" i="5" l="1"/>
  <c r="F5" i="5"/>
  <c r="F12" i="5"/>
  <c r="F6" i="5"/>
  <c r="G12" i="6" l="1"/>
  <c r="H12" i="6"/>
  <c r="D12" i="6"/>
  <c r="D5" i="6"/>
  <c r="D4" i="6"/>
  <c r="D3" i="6"/>
  <c r="D2" i="6"/>
  <c r="H10" i="6"/>
  <c r="G10" i="6"/>
  <c r="D10" i="6"/>
  <c r="G2" i="6"/>
  <c r="H2" i="6"/>
  <c r="G3" i="6"/>
  <c r="H3" i="6"/>
  <c r="G4" i="6"/>
  <c r="H4" i="6"/>
  <c r="G5" i="6"/>
  <c r="H5" i="6"/>
  <c r="D6" i="6"/>
  <c r="G6" i="6"/>
  <c r="H6" i="6"/>
  <c r="D7" i="6"/>
  <c r="G7" i="6"/>
  <c r="H7" i="6"/>
  <c r="D8" i="6"/>
  <c r="G8" i="6"/>
  <c r="H8" i="6"/>
  <c r="D9" i="6"/>
  <c r="G9" i="6"/>
  <c r="H9" i="6"/>
  <c r="D11" i="6"/>
  <c r="G11" i="6"/>
  <c r="H11" i="6"/>
  <c r="F2" i="5"/>
  <c r="F3" i="5"/>
  <c r="F4" i="5"/>
  <c r="F8" i="5"/>
  <c r="F9" i="5"/>
  <c r="F13" i="5"/>
  <c r="F11" i="5"/>
  <c r="F10" i="5"/>
</calcChain>
</file>

<file path=xl/sharedStrings.xml><?xml version="1.0" encoding="utf-8"?>
<sst xmlns="http://schemas.openxmlformats.org/spreadsheetml/2006/main" count="173" uniqueCount="79">
  <si>
    <t>Revenue</t>
  </si>
  <si>
    <t>Gross profit</t>
  </si>
  <si>
    <t>Total operating expenses</t>
  </si>
  <si>
    <t>Interest expense</t>
  </si>
  <si>
    <t>Cost of revenue</t>
  </si>
  <si>
    <t>General and administrative</t>
  </si>
  <si>
    <t>Green</t>
    <phoneticPr fontId="1"/>
  </si>
  <si>
    <t>Red</t>
    <phoneticPr fontId="1"/>
  </si>
  <si>
    <t>Grey</t>
    <phoneticPr fontId="1"/>
  </si>
  <si>
    <t>css.background-opacity</t>
    <phoneticPr fontId="1"/>
  </si>
  <si>
    <t>css.color</t>
    <phoneticPr fontId="1"/>
  </si>
  <si>
    <t>image</t>
    <phoneticPr fontId="1"/>
  </si>
  <si>
    <t>memo</t>
    <phoneticPr fontId="1"/>
  </si>
  <si>
    <t>row</t>
    <phoneticPr fontId="1"/>
  </si>
  <si>
    <t>col</t>
    <phoneticPr fontId="1"/>
  </si>
  <si>
    <t>none</t>
  </si>
  <si>
    <t>memo</t>
  </si>
  <si>
    <t>target</t>
  </si>
  <si>
    <t>M</t>
    <phoneticPr fontId="1"/>
  </si>
  <si>
    <t>$</t>
    <phoneticPr fontId="1"/>
  </si>
  <si>
    <t>avoid_overlap_padding</t>
    <phoneticPr fontId="1"/>
  </si>
  <si>
    <t>use_label_merge</t>
    <phoneticPr fontId="1"/>
  </si>
  <si>
    <t>edge_unit</t>
    <phoneticPr fontId="1"/>
  </si>
  <si>
    <t>edge_currency</t>
    <phoneticPr fontId="1"/>
  </si>
  <si>
    <t>node_currency</t>
    <phoneticPr fontId="1"/>
  </si>
  <si>
    <t>💧</t>
    <phoneticPr fontId="1"/>
  </si>
  <si>
    <t>🌤️</t>
    <phoneticPr fontId="1"/>
  </si>
  <si>
    <t>css.font-size</t>
    <phoneticPr fontId="1"/>
  </si>
  <si>
    <t>css.background-color</t>
    <phoneticPr fontId="1"/>
  </si>
  <si>
    <t>css.shape</t>
    <phoneticPr fontId="1"/>
  </si>
  <si>
    <t>_emoji</t>
    <phoneticPr fontId="1"/>
  </si>
  <si>
    <t>_change</t>
    <phoneticPr fontId="1"/>
  </si>
  <si>
    <t>label</t>
    <phoneticPr fontId="1"/>
  </si>
  <si>
    <t>none</t>
    <phoneticPr fontId="1"/>
  </si>
  <si>
    <t>css.line-style</t>
    <phoneticPr fontId="1"/>
  </si>
  <si>
    <t>css.font-size</t>
    <phoneticPr fontId="1"/>
  </si>
  <si>
    <t>css.text-opacity</t>
    <phoneticPr fontId="1"/>
  </si>
  <si>
    <t>css.line-opacity</t>
    <phoneticPr fontId="1"/>
  </si>
  <si>
    <t>css.target-arrow-shape</t>
    <phoneticPr fontId="1"/>
  </si>
  <si>
    <t>css.target-arrow-color</t>
    <phoneticPr fontId="1"/>
  </si>
  <si>
    <t>css.color</t>
    <phoneticPr fontId="1"/>
  </si>
  <si>
    <t>css.line-color</t>
    <phoneticPr fontId="1"/>
  </si>
  <si>
    <t>label</t>
    <phoneticPr fontId="1"/>
  </si>
  <si>
    <t>value</t>
    <phoneticPr fontId="1"/>
  </si>
  <si>
    <t>source</t>
    <phoneticPr fontId="1"/>
  </si>
  <si>
    <t>use_scale_width</t>
    <phoneticPr fontId="1"/>
  </si>
  <si>
    <t>node_unit</t>
    <phoneticPr fontId="1"/>
  </si>
  <si>
    <t>Sales and marketing</t>
  </si>
  <si>
    <t>Net income (loss)</t>
  </si>
  <si>
    <t>parent</t>
    <phoneticPr fontId="1"/>
  </si>
  <si>
    <t>-</t>
  </si>
  <si>
    <t>Three Months Ended June 30, 2023</t>
  </si>
  <si>
    <t>Three Months Ended June 30, 2022</t>
  </si>
  <si>
    <t>Six Months Ended June 30, 2023</t>
  </si>
  <si>
    <t>Six Months Ended June 30, 2022</t>
  </si>
  <si>
    <t>Sales and marketing</t>
    <phoneticPr fontId="1"/>
  </si>
  <si>
    <t>Research and development</t>
    <phoneticPr fontId="1"/>
  </si>
  <si>
    <t>General and administrative</t>
    <phoneticPr fontId="1"/>
  </si>
  <si>
    <t>Income (loss) from operations</t>
  </si>
  <si>
    <t>Interest income</t>
  </si>
  <si>
    <t>Other income (expense), net</t>
  </si>
  <si>
    <t>Income (loss) before provision for income taxes</t>
  </si>
  <si>
    <t>Provision for income taxes</t>
  </si>
  <si>
    <t>Less: Net income (loss) attributable to noncontrolling interests</t>
  </si>
  <si>
    <t>Net income (loss) attributable to common stockholders</t>
  </si>
  <si>
    <t>Net earnings (loss) per share attributable to common stockholders, basic</t>
  </si>
  <si>
    <t>Net earnings (loss) per share attributable to common stockholders, diluted</t>
  </si>
  <si>
    <t>Weighted-average shares of common stock outstanding used in computing net earnings (loss) per share attributable to common stockholders, basic</t>
  </si>
  <si>
    <t>Weighted-average shares of common stock outstanding used in computing net earnings (loss) per share attributable to common stockholders, diluted</t>
  </si>
  <si>
    <t>Research and development</t>
  </si>
  <si>
    <t>Operating expenses:</t>
    <phoneticPr fontId="1"/>
  </si>
  <si>
    <t>DarkGreen</t>
    <phoneticPr fontId="1"/>
  </si>
  <si>
    <t>Column1</t>
  </si>
  <si>
    <t>Operating expenses:</t>
  </si>
  <si>
    <t>Income from operations</t>
  </si>
  <si>
    <t>Income before provision for income taxes</t>
  </si>
  <si>
    <t>Net income</t>
  </si>
  <si>
    <t>24</t>
    <phoneticPr fontId="1"/>
  </si>
  <si>
    <t>23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</si>
</sst>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ＭＳ Ｐゴシック"/>
      <family val="2"/>
      <scheme val="minor"/>
    </font>
    <font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b/>
      <sz val="11"/>
      <color theme="0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2" fillId="0" borderId="0" xfId="1"/>
    <xf numFmtId="0" fontId="3" fillId="0" borderId="0" xfId="0" applyFont="1"/>
    <xf numFmtId="0" fontId="4" fillId="0" borderId="0" xfId="1" applyFont="1"/>
    <xf numFmtId="0" fontId="0" fillId="0" borderId="3" xfId="0" applyFont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0" fillId="3" borderId="4" xfId="0" applyNumberFormat="1" applyFont="1" applyFill="1" applyBorder="1"/>
    <xf numFmtId="3" fontId="0" fillId="3" borderId="5" xfId="0" applyNumberFormat="1" applyFont="1" applyFill="1" applyBorder="1"/>
    <xf numFmtId="0" fontId="0" fillId="3" borderId="6" xfId="0" applyFont="1" applyFill="1" applyBorder="1"/>
    <xf numFmtId="0" fontId="0" fillId="0" borderId="4" xfId="0" applyNumberFormat="1" applyFont="1" applyBorder="1"/>
    <xf numFmtId="3" fontId="0" fillId="0" borderId="5" xfId="0" applyNumberFormat="1" applyFont="1" applyBorder="1"/>
    <xf numFmtId="0" fontId="0" fillId="0" borderId="6" xfId="0" applyFont="1" applyBorder="1"/>
    <xf numFmtId="0" fontId="0" fillId="0" borderId="5" xfId="0" applyNumberFormat="1" applyFont="1" applyBorder="1"/>
    <xf numFmtId="0" fontId="0" fillId="0" borderId="1" xfId="0" applyNumberFormat="1" applyFont="1" applyBorder="1"/>
    <xf numFmtId="3" fontId="0" fillId="0" borderId="2" xfId="0" applyNumberFormat="1" applyFont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workbookViewId="0">
      <selection activeCell="K13" sqref="K13"/>
    </sheetView>
  </sheetViews>
  <sheetFormatPr defaultRowHeight="14.25" x14ac:dyDescent="0.15"/>
  <cols>
    <col min="1" max="1" width="40.375" style="1" customWidth="1"/>
    <col min="2" max="2" width="3.875" style="1" bestFit="1" customWidth="1"/>
    <col min="3" max="3" width="4.5" style="1" bestFit="1" customWidth="1"/>
    <col min="4" max="4" width="8.25" style="1" bestFit="1" customWidth="1"/>
    <col min="5" max="5" width="8.25" style="1" customWidth="1"/>
    <col min="6" max="6" width="11.375" style="1" customWidth="1"/>
    <col min="7" max="7" width="16.5" style="1" bestFit="1" customWidth="1"/>
    <col min="8" max="8" width="8" style="1" bestFit="1" customWidth="1"/>
    <col min="9" max="9" width="9.5" style="1" bestFit="1" customWidth="1"/>
    <col min="10" max="10" width="8.75" style="1" bestFit="1" customWidth="1"/>
    <col min="11" max="11" width="20.25" style="1" bestFit="1" customWidth="1"/>
    <col min="12" max="12" width="22.5" style="1" bestFit="1" customWidth="1"/>
    <col min="13" max="13" width="12.375" style="1" bestFit="1" customWidth="1"/>
    <col min="14" max="16384" width="9" style="1"/>
  </cols>
  <sheetData>
    <row r="1" spans="1:13" x14ac:dyDescent="0.15">
      <c r="A1" s="1" t="s">
        <v>32</v>
      </c>
      <c r="B1" s="1" t="s">
        <v>14</v>
      </c>
      <c r="C1" s="1" t="s">
        <v>13</v>
      </c>
      <c r="D1" s="1" t="s">
        <v>31</v>
      </c>
      <c r="E1" s="1" t="s">
        <v>30</v>
      </c>
      <c r="F1" s="1" t="s">
        <v>12</v>
      </c>
      <c r="G1" s="1" t="s">
        <v>11</v>
      </c>
      <c r="H1" s="1" t="s">
        <v>49</v>
      </c>
      <c r="I1" s="1" t="s">
        <v>29</v>
      </c>
      <c r="J1" s="1" t="s">
        <v>10</v>
      </c>
      <c r="K1" s="1" t="s">
        <v>28</v>
      </c>
      <c r="L1" s="1" t="s">
        <v>9</v>
      </c>
      <c r="M1" s="1" t="s">
        <v>27</v>
      </c>
    </row>
    <row r="2" spans="1:13" x14ac:dyDescent="0.15">
      <c r="A2" s="2" t="s">
        <v>0</v>
      </c>
      <c r="B2" s="1">
        <v>0</v>
      </c>
      <c r="C2" s="1">
        <v>0</v>
      </c>
      <c r="D2" s="1">
        <v>12.7</v>
      </c>
      <c r="E2" s="1" t="s">
        <v>26</v>
      </c>
      <c r="F2" s="1" t="str">
        <f t="shared" ref="F2:F15" si="0">D2&amp;"%"&amp;E2</f>
        <v>12.7%🌤️</v>
      </c>
      <c r="K2" s="1" t="s">
        <v>8</v>
      </c>
      <c r="L2" s="1">
        <v>0.9</v>
      </c>
      <c r="M2" s="1">
        <v>30</v>
      </c>
    </row>
    <row r="3" spans="1:13" x14ac:dyDescent="0.15">
      <c r="A3" s="2" t="s">
        <v>4</v>
      </c>
      <c r="B3" s="1">
        <v>1</v>
      </c>
      <c r="C3" s="1">
        <v>0</v>
      </c>
      <c r="D3" s="1">
        <v>4.5999999999999996</v>
      </c>
      <c r="E3" s="1" t="s">
        <v>25</v>
      </c>
      <c r="F3" s="1" t="str">
        <f t="shared" si="0"/>
        <v>4.6%💧</v>
      </c>
      <c r="K3" s="1" t="s">
        <v>7</v>
      </c>
      <c r="L3" s="1">
        <v>0.9</v>
      </c>
      <c r="M3" s="1">
        <v>30</v>
      </c>
    </row>
    <row r="4" spans="1:13" x14ac:dyDescent="0.15">
      <c r="A4" s="2" t="s">
        <v>1</v>
      </c>
      <c r="B4" s="1">
        <v>1</v>
      </c>
      <c r="C4" s="1">
        <v>1</v>
      </c>
      <c r="D4" s="1">
        <v>15</v>
      </c>
      <c r="E4" s="1" t="s">
        <v>26</v>
      </c>
      <c r="F4" s="1" t="str">
        <f t="shared" si="0"/>
        <v>15%🌤️</v>
      </c>
      <c r="K4" s="1" t="s">
        <v>6</v>
      </c>
      <c r="L4" s="1">
        <v>0.9</v>
      </c>
      <c r="M4" s="1">
        <v>30</v>
      </c>
    </row>
    <row r="5" spans="1:13" x14ac:dyDescent="0.15">
      <c r="A5" s="2" t="s">
        <v>47</v>
      </c>
      <c r="B5" s="1">
        <v>3</v>
      </c>
      <c r="C5" s="1">
        <v>1</v>
      </c>
      <c r="D5" s="1">
        <v>9.1</v>
      </c>
      <c r="E5" s="1" t="s">
        <v>25</v>
      </c>
      <c r="F5" s="1" t="str">
        <f t="shared" si="0"/>
        <v>9.1%💧</v>
      </c>
      <c r="K5" s="1" t="s">
        <v>7</v>
      </c>
      <c r="L5" s="1">
        <v>0.9</v>
      </c>
      <c r="M5" s="1">
        <v>30</v>
      </c>
    </row>
    <row r="6" spans="1:13" x14ac:dyDescent="0.15">
      <c r="A6" s="3" t="s">
        <v>69</v>
      </c>
      <c r="B6" s="1">
        <v>3</v>
      </c>
      <c r="C6" s="1">
        <v>2</v>
      </c>
      <c r="D6" s="1">
        <v>12.9</v>
      </c>
      <c r="E6" s="1" t="s">
        <v>25</v>
      </c>
      <c r="F6" s="1" t="str">
        <f t="shared" si="0"/>
        <v>12.9%💧</v>
      </c>
      <c r="K6" s="1" t="s">
        <v>7</v>
      </c>
      <c r="L6" s="1">
        <v>0.9</v>
      </c>
      <c r="M6" s="1">
        <v>30</v>
      </c>
    </row>
    <row r="7" spans="1:13" x14ac:dyDescent="0.15">
      <c r="A7" s="2" t="s">
        <v>5</v>
      </c>
      <c r="B7" s="1">
        <v>3</v>
      </c>
      <c r="C7" s="1">
        <v>3</v>
      </c>
      <c r="D7" s="1">
        <v>-14.7</v>
      </c>
      <c r="E7" s="1" t="s">
        <v>26</v>
      </c>
      <c r="F7" s="1" t="str">
        <f t="shared" si="0"/>
        <v>-14.7%🌤️</v>
      </c>
      <c r="K7" s="1" t="s">
        <v>7</v>
      </c>
      <c r="L7" s="1">
        <v>0.9</v>
      </c>
      <c r="M7" s="1">
        <v>30</v>
      </c>
    </row>
    <row r="8" spans="1:13" x14ac:dyDescent="0.15">
      <c r="A8" s="2" t="s">
        <v>2</v>
      </c>
      <c r="B8" s="1">
        <v>2</v>
      </c>
      <c r="C8" s="1">
        <v>1</v>
      </c>
      <c r="D8" s="1">
        <v>0.9</v>
      </c>
      <c r="E8" s="1" t="s">
        <v>26</v>
      </c>
      <c r="F8" s="1" t="str">
        <f t="shared" si="0"/>
        <v>0.9%🌤️</v>
      </c>
      <c r="K8" s="1" t="s">
        <v>6</v>
      </c>
      <c r="L8" s="1">
        <v>0.9</v>
      </c>
      <c r="M8" s="1">
        <v>30</v>
      </c>
    </row>
    <row r="9" spans="1:13" x14ac:dyDescent="0.15">
      <c r="A9" s="2" t="s">
        <v>58</v>
      </c>
      <c r="B9" s="1">
        <v>1</v>
      </c>
      <c r="C9" s="1">
        <v>2</v>
      </c>
      <c r="D9" s="1">
        <v>-124.1</v>
      </c>
      <c r="E9" s="1" t="s">
        <v>26</v>
      </c>
      <c r="F9" s="1" t="str">
        <f t="shared" si="0"/>
        <v>-124.1%🌤️</v>
      </c>
      <c r="K9" s="1" t="s">
        <v>6</v>
      </c>
      <c r="L9" s="1">
        <v>0.9</v>
      </c>
      <c r="M9" s="1">
        <v>30</v>
      </c>
    </row>
    <row r="10" spans="1:13" x14ac:dyDescent="0.15">
      <c r="A10" s="2" t="s">
        <v>59</v>
      </c>
      <c r="B10" s="1">
        <v>0</v>
      </c>
      <c r="C10" s="1">
        <v>2</v>
      </c>
      <c r="D10" s="1">
        <v>1959.1</v>
      </c>
      <c r="E10" s="1" t="s">
        <v>26</v>
      </c>
      <c r="F10" s="1" t="str">
        <f t="shared" si="0"/>
        <v>1959.1%🌤️</v>
      </c>
      <c r="K10" s="1" t="s">
        <v>6</v>
      </c>
      <c r="L10" s="1">
        <v>0.9</v>
      </c>
      <c r="M10" s="1">
        <v>30</v>
      </c>
    </row>
    <row r="11" spans="1:13" x14ac:dyDescent="0.15">
      <c r="A11" s="2" t="s">
        <v>3</v>
      </c>
      <c r="B11" s="1">
        <v>2</v>
      </c>
      <c r="C11" s="1">
        <v>3</v>
      </c>
      <c r="D11">
        <v>96.6</v>
      </c>
      <c r="E11" s="1" t="s">
        <v>26</v>
      </c>
      <c r="F11" s="1" t="str">
        <f t="shared" si="0"/>
        <v>96.6%🌤️</v>
      </c>
      <c r="K11" s="1" t="s">
        <v>7</v>
      </c>
      <c r="L11" s="1">
        <v>0.9</v>
      </c>
      <c r="M11" s="1">
        <v>30</v>
      </c>
    </row>
    <row r="12" spans="1:13" x14ac:dyDescent="0.15">
      <c r="A12" s="2" t="s">
        <v>60</v>
      </c>
      <c r="B12" s="1">
        <v>2</v>
      </c>
      <c r="C12" s="1">
        <v>4</v>
      </c>
      <c r="D12" s="1">
        <v>-93.4</v>
      </c>
      <c r="E12" s="1" t="s">
        <v>26</v>
      </c>
      <c r="F12" s="1" t="str">
        <f t="shared" si="0"/>
        <v>-93.4%🌤️</v>
      </c>
      <c r="K12" s="1" t="s">
        <v>7</v>
      </c>
      <c r="L12" s="1">
        <v>0.9</v>
      </c>
      <c r="M12" s="1">
        <v>30</v>
      </c>
    </row>
    <row r="13" spans="1:13" x14ac:dyDescent="0.15">
      <c r="A13" s="3" t="s">
        <v>61</v>
      </c>
      <c r="B13" s="1">
        <v>1</v>
      </c>
      <c r="C13" s="1">
        <v>3</v>
      </c>
      <c r="D13">
        <v>-117</v>
      </c>
      <c r="E13" s="1" t="s">
        <v>26</v>
      </c>
      <c r="F13" s="1" t="str">
        <f t="shared" si="0"/>
        <v>-117%🌤️</v>
      </c>
      <c r="K13" s="1" t="s">
        <v>6</v>
      </c>
      <c r="L13" s="1">
        <v>0.9</v>
      </c>
      <c r="M13" s="1">
        <v>30</v>
      </c>
    </row>
    <row r="14" spans="1:13" x14ac:dyDescent="0.15">
      <c r="A14" s="1" t="s">
        <v>62</v>
      </c>
      <c r="B14" s="1">
        <v>0</v>
      </c>
      <c r="C14" s="1">
        <v>3</v>
      </c>
      <c r="D14">
        <v>-16.100000000000001</v>
      </c>
      <c r="E14" s="1" t="s">
        <v>26</v>
      </c>
      <c r="F14" s="1" t="str">
        <f t="shared" si="0"/>
        <v>-16.1%🌤️</v>
      </c>
      <c r="K14" s="1" t="s">
        <v>7</v>
      </c>
      <c r="L14" s="1">
        <v>0.9</v>
      </c>
      <c r="M14" s="1">
        <v>30</v>
      </c>
    </row>
    <row r="15" spans="1:13" x14ac:dyDescent="0.15">
      <c r="A15" s="1" t="s">
        <v>48</v>
      </c>
      <c r="D15" s="1">
        <v>-115.5</v>
      </c>
      <c r="E15" s="1" t="s">
        <v>26</v>
      </c>
      <c r="F15" s="1" t="str">
        <f t="shared" si="0"/>
        <v>-115.5%🌤️</v>
      </c>
      <c r="K15" s="1" t="s">
        <v>71</v>
      </c>
      <c r="L15" s="1">
        <v>0.9</v>
      </c>
      <c r="M15" s="1">
        <v>30</v>
      </c>
    </row>
  </sheetData>
  <sortState xmlns:xlrd2="http://schemas.microsoft.com/office/spreadsheetml/2017/richdata2" ref="A2:L16">
    <sortCondition ref="B1:B16"/>
  </sortState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workbookViewId="0">
      <selection activeCell="F14" sqref="F14"/>
    </sheetView>
  </sheetViews>
  <sheetFormatPr defaultRowHeight="14.25" x14ac:dyDescent="0.15"/>
  <cols>
    <col min="1" max="1" width="38.125" style="1" customWidth="1"/>
    <col min="2" max="2" width="41.25" style="1" customWidth="1"/>
    <col min="3" max="3" width="10.125" style="1" customWidth="1"/>
    <col min="4" max="4" width="9.75" style="1" customWidth="1"/>
    <col min="5" max="5" width="6.5" style="1" bestFit="1" customWidth="1"/>
    <col min="6" max="6" width="12.75" style="1" bestFit="1" customWidth="1"/>
    <col min="7" max="7" width="8.75" style="1" bestFit="1" customWidth="1"/>
    <col min="8" max="8" width="21.75" style="1" bestFit="1" customWidth="1"/>
    <col min="9" max="9" width="22.625" style="1" bestFit="1" customWidth="1"/>
    <col min="10" max="10" width="15" style="1" bestFit="1" customWidth="1"/>
    <col min="11" max="11" width="15.625" style="1" bestFit="1" customWidth="1"/>
    <col min="12" max="12" width="12.375" style="1" bestFit="1" customWidth="1"/>
    <col min="13" max="13" width="12.625" style="1" bestFit="1" customWidth="1"/>
    <col min="14" max="16384" width="9" style="1"/>
  </cols>
  <sheetData>
    <row r="1" spans="1:13" x14ac:dyDescent="0.15">
      <c r="A1" s="1" t="s">
        <v>44</v>
      </c>
      <c r="B1" s="1" t="s">
        <v>17</v>
      </c>
      <c r="C1" s="1" t="s">
        <v>43</v>
      </c>
      <c r="D1" s="1" t="s">
        <v>42</v>
      </c>
      <c r="E1" s="1" t="s">
        <v>16</v>
      </c>
      <c r="F1" s="1" t="s">
        <v>41</v>
      </c>
      <c r="G1" s="1" t="s">
        <v>40</v>
      </c>
      <c r="H1" s="1" t="s">
        <v>39</v>
      </c>
      <c r="I1" s="1" t="s">
        <v>38</v>
      </c>
      <c r="J1" s="1" t="s">
        <v>37</v>
      </c>
      <c r="K1" s="1" t="s">
        <v>36</v>
      </c>
      <c r="L1" s="1" t="s">
        <v>35</v>
      </c>
      <c r="M1" s="1" t="s">
        <v>34</v>
      </c>
    </row>
    <row r="2" spans="1:13" x14ac:dyDescent="0.15">
      <c r="A2" s="1" t="s">
        <v>0</v>
      </c>
      <c r="B2" s="1" t="s">
        <v>4</v>
      </c>
      <c r="C2">
        <v>106.9</v>
      </c>
      <c r="D2">
        <f>C2</f>
        <v>106.9</v>
      </c>
      <c r="F2" s="1" t="s">
        <v>7</v>
      </c>
      <c r="G2" s="1" t="str">
        <f t="shared" ref="G2:G11" si="0">F2</f>
        <v>Red</v>
      </c>
      <c r="H2" s="1" t="str">
        <f t="shared" ref="H2:H11" si="1">F2</f>
        <v>Red</v>
      </c>
      <c r="I2" s="1" t="s">
        <v>33</v>
      </c>
      <c r="J2" s="1">
        <v>0.2</v>
      </c>
      <c r="K2" s="1">
        <v>1</v>
      </c>
      <c r="L2" s="1">
        <v>32</v>
      </c>
    </row>
    <row r="3" spans="1:13" x14ac:dyDescent="0.15">
      <c r="A3" s="1" t="s">
        <v>0</v>
      </c>
      <c r="B3" s="1" t="s">
        <v>1</v>
      </c>
      <c r="C3">
        <v>426.4</v>
      </c>
      <c r="D3">
        <f>C3</f>
        <v>426.4</v>
      </c>
      <c r="F3" s="1" t="s">
        <v>6</v>
      </c>
      <c r="G3" s="1" t="str">
        <f t="shared" si="0"/>
        <v>Green</v>
      </c>
      <c r="H3" s="1" t="str">
        <f t="shared" si="1"/>
        <v>Green</v>
      </c>
      <c r="I3" s="1" t="s">
        <v>15</v>
      </c>
      <c r="J3" s="1">
        <v>0.2</v>
      </c>
      <c r="K3" s="1">
        <v>1</v>
      </c>
      <c r="L3" s="1">
        <v>32</v>
      </c>
    </row>
    <row r="4" spans="1:13" x14ac:dyDescent="0.15">
      <c r="A4" s="1" t="s">
        <v>1</v>
      </c>
      <c r="B4" s="1" t="s">
        <v>2</v>
      </c>
      <c r="C4">
        <v>426.4</v>
      </c>
      <c r="D4">
        <f>C4</f>
        <v>426.4</v>
      </c>
      <c r="F4" s="1" t="s">
        <v>6</v>
      </c>
      <c r="G4" s="1" t="str">
        <f t="shared" si="0"/>
        <v>Green</v>
      </c>
      <c r="H4" s="1" t="str">
        <f t="shared" si="1"/>
        <v>Green</v>
      </c>
      <c r="I4" s="1" t="s">
        <v>15</v>
      </c>
      <c r="J4" s="1">
        <v>0.2</v>
      </c>
      <c r="K4" s="1">
        <v>1</v>
      </c>
      <c r="L4" s="1">
        <v>32</v>
      </c>
    </row>
    <row r="5" spans="1:13" x14ac:dyDescent="0.15">
      <c r="A5" s="1" t="s">
        <v>2</v>
      </c>
      <c r="B5" s="1" t="s">
        <v>47</v>
      </c>
      <c r="C5">
        <v>184.2</v>
      </c>
      <c r="D5">
        <f t="shared" ref="D5:D12" si="2">C5</f>
        <v>184.2</v>
      </c>
      <c r="F5" s="1" t="s">
        <v>7</v>
      </c>
      <c r="G5" s="1" t="str">
        <f t="shared" si="0"/>
        <v>Red</v>
      </c>
      <c r="H5" s="1" t="str">
        <f t="shared" si="1"/>
        <v>Red</v>
      </c>
      <c r="I5" s="1" t="s">
        <v>15</v>
      </c>
      <c r="J5" s="1">
        <v>0.2</v>
      </c>
      <c r="K5" s="1">
        <v>1</v>
      </c>
      <c r="L5" s="1">
        <v>32</v>
      </c>
    </row>
    <row r="6" spans="1:13" x14ac:dyDescent="0.15">
      <c r="A6" s="1" t="s">
        <v>2</v>
      </c>
      <c r="B6" s="1" t="s">
        <v>69</v>
      </c>
      <c r="C6">
        <v>99.5</v>
      </c>
      <c r="D6">
        <f t="shared" si="2"/>
        <v>99.5</v>
      </c>
      <c r="F6" s="1" t="s">
        <v>7</v>
      </c>
      <c r="G6" s="1" t="str">
        <f t="shared" si="0"/>
        <v>Red</v>
      </c>
      <c r="H6" s="1" t="str">
        <f t="shared" si="1"/>
        <v>Red</v>
      </c>
      <c r="I6" s="1" t="s">
        <v>15</v>
      </c>
      <c r="J6" s="1">
        <v>0.2</v>
      </c>
      <c r="K6" s="1">
        <v>1</v>
      </c>
      <c r="L6" s="1">
        <v>32</v>
      </c>
    </row>
    <row r="7" spans="1:13" x14ac:dyDescent="0.15">
      <c r="A7" s="1" t="s">
        <v>2</v>
      </c>
      <c r="B7" s="1" t="s">
        <v>5</v>
      </c>
      <c r="C7">
        <v>132.6</v>
      </c>
      <c r="D7">
        <f t="shared" si="2"/>
        <v>132.6</v>
      </c>
      <c r="F7" s="1" t="s">
        <v>7</v>
      </c>
      <c r="G7" s="1" t="str">
        <f t="shared" si="0"/>
        <v>Red</v>
      </c>
      <c r="H7" s="1" t="str">
        <f t="shared" si="1"/>
        <v>Red</v>
      </c>
      <c r="I7" s="1" t="s">
        <v>15</v>
      </c>
      <c r="J7" s="1">
        <v>0.2</v>
      </c>
      <c r="K7" s="1">
        <v>1</v>
      </c>
      <c r="L7" s="1">
        <v>32</v>
      </c>
    </row>
    <row r="8" spans="1:13" x14ac:dyDescent="0.15">
      <c r="A8" s="1" t="s">
        <v>2</v>
      </c>
      <c r="B8" s="1" t="s">
        <v>58</v>
      </c>
      <c r="C8">
        <v>10.1</v>
      </c>
      <c r="D8">
        <f t="shared" si="2"/>
        <v>10.1</v>
      </c>
      <c r="F8" s="1" t="s">
        <v>6</v>
      </c>
      <c r="G8" s="1" t="str">
        <f t="shared" si="0"/>
        <v>Green</v>
      </c>
      <c r="H8" s="1" t="str">
        <f t="shared" si="1"/>
        <v>Green</v>
      </c>
      <c r="I8" s="1" t="s">
        <v>15</v>
      </c>
      <c r="J8" s="1">
        <v>0.2</v>
      </c>
      <c r="K8" s="1">
        <v>1</v>
      </c>
      <c r="L8" s="1">
        <v>32</v>
      </c>
    </row>
    <row r="9" spans="1:13" x14ac:dyDescent="0.15">
      <c r="A9" s="1" t="s">
        <v>58</v>
      </c>
      <c r="B9" s="1" t="s">
        <v>61</v>
      </c>
      <c r="C9">
        <v>10.1</v>
      </c>
      <c r="D9">
        <f t="shared" si="2"/>
        <v>10.1</v>
      </c>
      <c r="F9" s="1" t="s">
        <v>6</v>
      </c>
      <c r="G9" s="1" t="str">
        <f t="shared" si="0"/>
        <v>Green</v>
      </c>
      <c r="H9" s="1" t="str">
        <f t="shared" si="1"/>
        <v>Green</v>
      </c>
      <c r="I9" s="1" t="s">
        <v>15</v>
      </c>
      <c r="J9" s="1">
        <v>0.2</v>
      </c>
      <c r="K9" s="1">
        <v>1</v>
      </c>
      <c r="L9" s="1">
        <v>32</v>
      </c>
    </row>
    <row r="10" spans="1:13" x14ac:dyDescent="0.15">
      <c r="A10" s="1" t="s">
        <v>59</v>
      </c>
      <c r="B10" s="1" t="s">
        <v>61</v>
      </c>
      <c r="C10">
        <v>30.3</v>
      </c>
      <c r="D10">
        <f t="shared" si="2"/>
        <v>30.3</v>
      </c>
      <c r="F10" s="1" t="s">
        <v>6</v>
      </c>
      <c r="G10" s="1" t="str">
        <f t="shared" si="0"/>
        <v>Green</v>
      </c>
      <c r="H10" s="1" t="str">
        <f t="shared" si="1"/>
        <v>Green</v>
      </c>
      <c r="I10" s="1" t="s">
        <v>15</v>
      </c>
      <c r="J10" s="1">
        <v>0.2</v>
      </c>
      <c r="K10" s="1">
        <v>1</v>
      </c>
      <c r="L10" s="1">
        <v>32</v>
      </c>
    </row>
    <row r="11" spans="1:13" x14ac:dyDescent="0.15">
      <c r="A11" s="1" t="s">
        <v>61</v>
      </c>
      <c r="B11" s="1" t="s">
        <v>3</v>
      </c>
      <c r="C11">
        <v>1.3</v>
      </c>
      <c r="D11">
        <f t="shared" si="2"/>
        <v>1.3</v>
      </c>
      <c r="F11" s="1" t="s">
        <v>7</v>
      </c>
      <c r="G11" s="1" t="str">
        <f t="shared" si="0"/>
        <v>Red</v>
      </c>
      <c r="H11" s="1" t="str">
        <f t="shared" si="1"/>
        <v>Red</v>
      </c>
      <c r="I11" s="1" t="s">
        <v>15</v>
      </c>
      <c r="J11" s="1">
        <v>0.2</v>
      </c>
      <c r="K11" s="1">
        <v>1</v>
      </c>
      <c r="L11" s="1">
        <v>32</v>
      </c>
    </row>
    <row r="12" spans="1:13" x14ac:dyDescent="0.15">
      <c r="A12" s="1" t="s">
        <v>61</v>
      </c>
      <c r="B12" s="1" t="s">
        <v>60</v>
      </c>
      <c r="C12">
        <v>9</v>
      </c>
      <c r="D12">
        <f t="shared" si="2"/>
        <v>9</v>
      </c>
      <c r="F12" s="1" t="s">
        <v>7</v>
      </c>
      <c r="G12" s="1" t="str">
        <f>F12</f>
        <v>Red</v>
      </c>
      <c r="H12" s="1" t="str">
        <f>F12</f>
        <v>Red</v>
      </c>
      <c r="I12" s="1" t="s">
        <v>15</v>
      </c>
      <c r="J12" s="1">
        <v>0.2</v>
      </c>
      <c r="K12" s="1">
        <v>1</v>
      </c>
      <c r="L12" s="1">
        <v>32</v>
      </c>
    </row>
    <row r="13" spans="1:13" x14ac:dyDescent="0.15">
      <c r="A13" s="1" t="s">
        <v>61</v>
      </c>
      <c r="B13" s="1" t="s">
        <v>62</v>
      </c>
      <c r="C13" s="1">
        <v>2.2000000000000002</v>
      </c>
      <c r="D13">
        <f t="shared" ref="D13:D14" si="3">C13</f>
        <v>2.2000000000000002</v>
      </c>
      <c r="F13" s="1" t="s">
        <v>7</v>
      </c>
      <c r="G13" s="1" t="str">
        <f t="shared" ref="G13:G14" si="4">F13</f>
        <v>Red</v>
      </c>
      <c r="H13" s="1" t="str">
        <f t="shared" ref="H13:H14" si="5">F13</f>
        <v>Red</v>
      </c>
      <c r="I13" s="1" t="s">
        <v>15</v>
      </c>
      <c r="J13" s="1">
        <v>0.2</v>
      </c>
      <c r="K13" s="1">
        <v>1</v>
      </c>
      <c r="L13" s="1">
        <v>32</v>
      </c>
    </row>
    <row r="14" spans="1:13" x14ac:dyDescent="0.15">
      <c r="A14" s="1" t="s">
        <v>61</v>
      </c>
      <c r="B14" s="1" t="s">
        <v>48</v>
      </c>
      <c r="C14" s="1">
        <v>27.9</v>
      </c>
      <c r="D14">
        <f t="shared" si="3"/>
        <v>27.9</v>
      </c>
      <c r="F14" s="1" t="s">
        <v>71</v>
      </c>
      <c r="G14" s="1" t="str">
        <f t="shared" si="4"/>
        <v>DarkGreen</v>
      </c>
      <c r="H14" s="1" t="str">
        <f t="shared" si="5"/>
        <v>DarkGreen</v>
      </c>
      <c r="I14" s="1" t="s">
        <v>15</v>
      </c>
      <c r="J14" s="1">
        <v>0.2</v>
      </c>
      <c r="K14" s="1">
        <v>1</v>
      </c>
      <c r="L14" s="1">
        <v>32</v>
      </c>
    </row>
  </sheetData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node!$A$2:$A$15</xm:f>
          </x14:formula1>
          <xm:sqref>A2:B14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selection activeCell="A13" sqref="A13"/>
    </sheetView>
  </sheetViews>
  <sheetFormatPr defaultRowHeight="14.25" x14ac:dyDescent="0.15"/>
  <cols>
    <col min="1" max="1" width="14" style="1" bestFit="1" customWidth="1"/>
    <col min="2" max="2" width="13.875" style="1" bestFit="1" customWidth="1"/>
    <col min="3" max="3" width="9.25" style="1" bestFit="1" customWidth="1"/>
    <col min="4" max="4" width="9.125" style="1" bestFit="1" customWidth="1"/>
    <col min="5" max="5" width="15" style="1" bestFit="1" customWidth="1"/>
    <col min="6" max="6" width="14.75" style="1" bestFit="1" customWidth="1"/>
    <col min="7" max="7" width="20.5" style="1" bestFit="1" customWidth="1"/>
    <col min="8" max="16384" width="9" style="1"/>
  </cols>
  <sheetData>
    <row r="1" spans="1:7" x14ac:dyDescent="0.15">
      <c r="A1" s="1" t="s">
        <v>24</v>
      </c>
      <c r="B1" s="1" t="s">
        <v>23</v>
      </c>
      <c r="C1" s="1" t="s">
        <v>46</v>
      </c>
      <c r="D1" s="1" t="s">
        <v>22</v>
      </c>
      <c r="E1" s="1" t="s">
        <v>21</v>
      </c>
      <c r="F1" s="1" t="s">
        <v>45</v>
      </c>
      <c r="G1" s="1" t="s">
        <v>20</v>
      </c>
    </row>
    <row r="2" spans="1:7" x14ac:dyDescent="0.15">
      <c r="A2" s="1" t="s">
        <v>19</v>
      </c>
      <c r="C2" s="1" t="s">
        <v>18</v>
      </c>
      <c r="E2" s="1" t="b">
        <v>1</v>
      </c>
      <c r="F2" s="1" t="b">
        <v>1</v>
      </c>
      <c r="G2" s="1">
        <v>250</v>
      </c>
    </row>
  </sheetData>
  <phoneticPr fontId="1"/>
  <dataValidations count="2">
    <dataValidation type="list" allowBlank="1" showInputMessage="1" showErrorMessage="1" sqref="B2" xr:uid="{00000000-0002-0000-0300-000000000000}">
      <formula1>"M,B"</formula1>
    </dataValidation>
    <dataValidation type="list" allowBlank="1" showInputMessage="1" showErrorMessage="1" sqref="B1" xr:uid="{00000000-0002-0000-0300-000001000000}">
      <formula1>"\,$"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A9DB-F4FF-4354-BE01-E25E21F2BA22}">
  <dimension ref="A1:D15"/>
  <sheetViews>
    <sheetView tabSelected="1" workbookViewId="0">
      <selection activeCell="E14" sqref="E14"/>
    </sheetView>
  </sheetViews>
  <sheetFormatPr defaultRowHeight="13.5" x14ac:dyDescent="0.15"/>
  <cols>
    <col min="1" max="1" width="37.625" bestFit="1" customWidth="1"/>
    <col min="2" max="2" width="18.5" bestFit="1" customWidth="1"/>
    <col min="3" max="3" width="11.625" bestFit="1" customWidth="1"/>
  </cols>
  <sheetData>
    <row r="1" spans="1:4" x14ac:dyDescent="0.15">
      <c r="A1" s="5" t="s">
        <v>72</v>
      </c>
      <c r="B1" s="6" t="s">
        <v>77</v>
      </c>
      <c r="C1" s="7" t="s">
        <v>78</v>
      </c>
    </row>
    <row r="2" spans="1:4" x14ac:dyDescent="0.15">
      <c r="A2" s="8" t="s">
        <v>0</v>
      </c>
      <c r="B2" s="9">
        <v>678134</v>
      </c>
      <c r="C2" s="10">
        <v>533317</v>
      </c>
      <c r="D2">
        <f>ROUND((B2-C2)/C2*100,1)</f>
        <v>27.2</v>
      </c>
    </row>
    <row r="3" spans="1:4" x14ac:dyDescent="0.15">
      <c r="A3" s="11" t="s">
        <v>4</v>
      </c>
      <c r="B3" s="12">
        <v>128562</v>
      </c>
      <c r="C3" s="13">
        <v>106899</v>
      </c>
      <c r="D3">
        <f>ROUND((B3-C3)/C3*100,1)</f>
        <v>20.3</v>
      </c>
    </row>
    <row r="4" spans="1:4" x14ac:dyDescent="0.15">
      <c r="A4" s="8" t="s">
        <v>1</v>
      </c>
      <c r="B4" s="9">
        <v>549572</v>
      </c>
      <c r="C4" s="10">
        <v>426418</v>
      </c>
      <c r="D4">
        <f t="shared" ref="D4:D15" si="0">ROUND((B4-C4)/C4*100,1)</f>
        <v>28.9</v>
      </c>
    </row>
    <row r="5" spans="1:4" x14ac:dyDescent="0.15">
      <c r="A5" s="11" t="s">
        <v>73</v>
      </c>
      <c r="B5" s="14"/>
      <c r="C5" s="13"/>
      <c r="D5" t="e">
        <f t="shared" si="0"/>
        <v>#DIV/0!</v>
      </c>
    </row>
    <row r="6" spans="1:4" x14ac:dyDescent="0.15">
      <c r="A6" s="8" t="s">
        <v>47</v>
      </c>
      <c r="B6" s="9">
        <v>196809</v>
      </c>
      <c r="C6" s="10">
        <v>184163</v>
      </c>
      <c r="D6">
        <f t="shared" si="0"/>
        <v>6.9</v>
      </c>
    </row>
    <row r="7" spans="1:4" x14ac:dyDescent="0.15">
      <c r="A7" s="11" t="s">
        <v>69</v>
      </c>
      <c r="B7" s="12">
        <v>108781</v>
      </c>
      <c r="C7" s="13">
        <v>99533</v>
      </c>
      <c r="D7">
        <f t="shared" si="0"/>
        <v>9.3000000000000007</v>
      </c>
    </row>
    <row r="8" spans="1:4" x14ac:dyDescent="0.15">
      <c r="A8" s="8" t="s">
        <v>5</v>
      </c>
      <c r="B8" s="9">
        <v>138643</v>
      </c>
      <c r="C8" s="10">
        <v>132648</v>
      </c>
      <c r="D8">
        <f t="shared" si="0"/>
        <v>4.5</v>
      </c>
    </row>
    <row r="9" spans="1:4" x14ac:dyDescent="0.15">
      <c r="A9" s="11" t="s">
        <v>2</v>
      </c>
      <c r="B9" s="12">
        <v>444233</v>
      </c>
      <c r="C9" s="13">
        <v>416344</v>
      </c>
      <c r="D9">
        <f t="shared" si="0"/>
        <v>6.7</v>
      </c>
    </row>
    <row r="10" spans="1:4" x14ac:dyDescent="0.15">
      <c r="A10" s="8" t="s">
        <v>74</v>
      </c>
      <c r="B10" s="9">
        <v>105339</v>
      </c>
      <c r="C10" s="10">
        <v>10074</v>
      </c>
      <c r="D10">
        <f t="shared" si="0"/>
        <v>945.7</v>
      </c>
    </row>
    <row r="11" spans="1:4" x14ac:dyDescent="0.15">
      <c r="A11" s="11" t="s">
        <v>59</v>
      </c>
      <c r="B11" s="12">
        <v>46593</v>
      </c>
      <c r="C11" s="13">
        <v>30310</v>
      </c>
      <c r="D11">
        <f t="shared" si="0"/>
        <v>53.7</v>
      </c>
    </row>
    <row r="12" spans="1:4" x14ac:dyDescent="0.15">
      <c r="A12" s="8" t="s">
        <v>60</v>
      </c>
      <c r="B12" s="9">
        <v>-11173</v>
      </c>
      <c r="C12" s="10">
        <v>-10341</v>
      </c>
      <c r="D12">
        <f t="shared" si="0"/>
        <v>8</v>
      </c>
    </row>
    <row r="13" spans="1:4" x14ac:dyDescent="0.15">
      <c r="A13" s="11" t="s">
        <v>75</v>
      </c>
      <c r="B13" s="12">
        <v>140759</v>
      </c>
      <c r="C13" s="13">
        <v>30043</v>
      </c>
      <c r="D13">
        <f t="shared" si="0"/>
        <v>368.5</v>
      </c>
    </row>
    <row r="14" spans="1:4" x14ac:dyDescent="0.15">
      <c r="A14" s="8" t="s">
        <v>62</v>
      </c>
      <c r="B14" s="9">
        <v>5189</v>
      </c>
      <c r="C14" s="10">
        <v>2171</v>
      </c>
      <c r="D14">
        <f t="shared" si="0"/>
        <v>139</v>
      </c>
    </row>
    <row r="15" spans="1:4" x14ac:dyDescent="0.15">
      <c r="A15" s="15" t="s">
        <v>76</v>
      </c>
      <c r="B15" s="16">
        <v>135570</v>
      </c>
      <c r="C15" s="4">
        <v>27872</v>
      </c>
      <c r="D15">
        <f t="shared" si="0"/>
        <v>386.4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>
      <selection activeCell="C13" sqref="C13"/>
    </sheetView>
  </sheetViews>
  <sheetFormatPr defaultRowHeight="13.5" x14ac:dyDescent="0.15"/>
  <cols>
    <col min="1" max="1" width="37.875" customWidth="1"/>
    <col min="2" max="2" width="15.375" bestFit="1" customWidth="1"/>
    <col min="3" max="3" width="15.375" customWidth="1"/>
    <col min="4" max="4" width="15.375" bestFit="1" customWidth="1"/>
  </cols>
  <sheetData>
    <row r="1" spans="1:7" x14ac:dyDescent="0.15">
      <c r="B1" t="s">
        <v>51</v>
      </c>
      <c r="D1" t="s">
        <v>52</v>
      </c>
      <c r="F1" t="s">
        <v>53</v>
      </c>
      <c r="G1" t="s">
        <v>54</v>
      </c>
    </row>
    <row r="2" spans="1:7" x14ac:dyDescent="0.15">
      <c r="A2" t="s">
        <v>0</v>
      </c>
      <c r="B2">
        <v>533317</v>
      </c>
      <c r="C2">
        <f>ROUND(B2/1000,1)</f>
        <v>533.29999999999995</v>
      </c>
      <c r="D2">
        <v>473010</v>
      </c>
      <c r="E2">
        <f>ROUND((B2-D2)/D2*100,1)</f>
        <v>12.7</v>
      </c>
      <c r="F2">
        <v>1058503</v>
      </c>
      <c r="G2">
        <v>919367</v>
      </c>
    </row>
    <row r="3" spans="1:7" x14ac:dyDescent="0.15">
      <c r="A3" t="s">
        <v>4</v>
      </c>
      <c r="B3">
        <v>106899</v>
      </c>
      <c r="C3">
        <f t="shared" ref="C3:C18" si="0">ROUND(B3/1000,1)</f>
        <v>106.9</v>
      </c>
      <c r="D3">
        <v>102224</v>
      </c>
      <c r="E3">
        <f t="shared" ref="E3:E22" si="1">ROUND((B3-D3)/D3*100,1)</f>
        <v>4.5999999999999996</v>
      </c>
      <c r="F3">
        <v>214544</v>
      </c>
      <c r="G3">
        <v>196627</v>
      </c>
    </row>
    <row r="4" spans="1:7" x14ac:dyDescent="0.15">
      <c r="A4" t="s">
        <v>1</v>
      </c>
      <c r="B4">
        <v>426418</v>
      </c>
      <c r="C4">
        <f t="shared" si="0"/>
        <v>426.4</v>
      </c>
      <c r="D4">
        <v>370786</v>
      </c>
      <c r="E4">
        <f t="shared" si="1"/>
        <v>15</v>
      </c>
      <c r="F4">
        <v>843959</v>
      </c>
      <c r="G4">
        <v>722740</v>
      </c>
    </row>
    <row r="5" spans="1:7" x14ac:dyDescent="0.15">
      <c r="A5" t="s">
        <v>70</v>
      </c>
      <c r="C5">
        <f t="shared" si="0"/>
        <v>0</v>
      </c>
      <c r="E5" t="e">
        <f t="shared" si="1"/>
        <v>#DIV/0!</v>
      </c>
    </row>
    <row r="6" spans="1:7" x14ac:dyDescent="0.15">
      <c r="A6" t="s">
        <v>55</v>
      </c>
      <c r="B6">
        <v>184163</v>
      </c>
      <c r="C6">
        <f t="shared" si="0"/>
        <v>184.2</v>
      </c>
      <c r="D6">
        <v>168875</v>
      </c>
      <c r="E6">
        <f t="shared" si="1"/>
        <v>9.1</v>
      </c>
      <c r="F6">
        <v>371256</v>
      </c>
      <c r="G6">
        <v>329360</v>
      </c>
    </row>
    <row r="7" spans="1:7" x14ac:dyDescent="0.15">
      <c r="A7" t="s">
        <v>56</v>
      </c>
      <c r="B7">
        <v>99533</v>
      </c>
      <c r="C7">
        <f t="shared" si="0"/>
        <v>99.5</v>
      </c>
      <c r="D7">
        <v>88171</v>
      </c>
      <c r="E7">
        <f t="shared" si="1"/>
        <v>12.9</v>
      </c>
      <c r="F7">
        <v>189633</v>
      </c>
      <c r="G7">
        <v>176772</v>
      </c>
    </row>
    <row r="8" spans="1:7" x14ac:dyDescent="0.15">
      <c r="A8" t="s">
        <v>57</v>
      </c>
      <c r="B8">
        <v>132648</v>
      </c>
      <c r="C8">
        <f t="shared" si="0"/>
        <v>132.6</v>
      </c>
      <c r="D8">
        <v>155485</v>
      </c>
      <c r="E8">
        <f t="shared" si="1"/>
        <v>-14.7</v>
      </c>
      <c r="F8">
        <v>268881</v>
      </c>
      <c r="G8">
        <v>297792</v>
      </c>
    </row>
    <row r="9" spans="1:7" x14ac:dyDescent="0.15">
      <c r="A9" t="s">
        <v>2</v>
      </c>
      <c r="B9">
        <v>416344</v>
      </c>
      <c r="C9">
        <f t="shared" si="0"/>
        <v>416.3</v>
      </c>
      <c r="D9">
        <v>412531</v>
      </c>
      <c r="E9">
        <f t="shared" si="1"/>
        <v>0.9</v>
      </c>
      <c r="F9">
        <v>829770</v>
      </c>
      <c r="G9">
        <v>803924</v>
      </c>
    </row>
    <row r="10" spans="1:7" x14ac:dyDescent="0.15">
      <c r="A10" t="s">
        <v>58</v>
      </c>
      <c r="B10">
        <v>10074</v>
      </c>
      <c r="C10">
        <f t="shared" si="0"/>
        <v>10.1</v>
      </c>
      <c r="D10">
        <v>-41745</v>
      </c>
      <c r="E10">
        <f t="shared" si="1"/>
        <v>-124.1</v>
      </c>
      <c r="F10">
        <v>14189</v>
      </c>
      <c r="G10">
        <v>-81184</v>
      </c>
    </row>
    <row r="11" spans="1:7" x14ac:dyDescent="0.15">
      <c r="A11" t="s">
        <v>59</v>
      </c>
      <c r="B11">
        <v>30310</v>
      </c>
      <c r="C11">
        <f t="shared" si="0"/>
        <v>30.3</v>
      </c>
      <c r="D11">
        <v>1472</v>
      </c>
      <c r="E11">
        <f t="shared" si="1"/>
        <v>1959.1</v>
      </c>
      <c r="F11">
        <v>51163</v>
      </c>
      <c r="G11">
        <v>2019</v>
      </c>
    </row>
    <row r="12" spans="1:7" x14ac:dyDescent="0.15">
      <c r="A12" t="s">
        <v>3</v>
      </c>
      <c r="B12">
        <v>-1317</v>
      </c>
      <c r="C12">
        <f t="shared" si="0"/>
        <v>-1.3</v>
      </c>
      <c r="D12">
        <v>-670</v>
      </c>
      <c r="E12">
        <f t="shared" si="1"/>
        <v>96.6</v>
      </c>
      <c r="F12">
        <v>-2592</v>
      </c>
      <c r="G12">
        <v>-1264</v>
      </c>
    </row>
    <row r="13" spans="1:7" x14ac:dyDescent="0.15">
      <c r="A13" t="s">
        <v>60</v>
      </c>
      <c r="B13">
        <v>-9024</v>
      </c>
      <c r="C13">
        <f t="shared" si="0"/>
        <v>-9</v>
      </c>
      <c r="D13">
        <v>-135798</v>
      </c>
      <c r="E13">
        <f t="shared" si="1"/>
        <v>-93.4</v>
      </c>
      <c r="F13">
        <v>-11885</v>
      </c>
      <c r="G13">
        <v>-195668</v>
      </c>
    </row>
    <row r="14" spans="1:7" x14ac:dyDescent="0.15">
      <c r="A14" t="s">
        <v>61</v>
      </c>
      <c r="B14">
        <v>30043</v>
      </c>
      <c r="C14">
        <f t="shared" si="0"/>
        <v>30</v>
      </c>
      <c r="D14">
        <v>-176741</v>
      </c>
      <c r="E14">
        <f t="shared" si="1"/>
        <v>-117</v>
      </c>
      <c r="F14">
        <v>50875</v>
      </c>
      <c r="G14">
        <v>-276097</v>
      </c>
    </row>
    <row r="15" spans="1:7" x14ac:dyDescent="0.15">
      <c r="A15" t="s">
        <v>62</v>
      </c>
      <c r="B15">
        <v>2171</v>
      </c>
      <c r="C15">
        <f t="shared" si="0"/>
        <v>2.2000000000000002</v>
      </c>
      <c r="D15">
        <v>2588</v>
      </c>
      <c r="E15">
        <f t="shared" si="1"/>
        <v>-16.100000000000001</v>
      </c>
      <c r="F15">
        <v>3852</v>
      </c>
      <c r="G15">
        <v>4611</v>
      </c>
    </row>
    <row r="16" spans="1:7" x14ac:dyDescent="0.15">
      <c r="A16" t="s">
        <v>48</v>
      </c>
      <c r="B16">
        <v>27872</v>
      </c>
      <c r="C16">
        <f t="shared" si="0"/>
        <v>27.9</v>
      </c>
      <c r="D16">
        <v>-179329</v>
      </c>
      <c r="E16">
        <f t="shared" si="1"/>
        <v>-115.5</v>
      </c>
      <c r="F16">
        <v>47023</v>
      </c>
      <c r="G16">
        <v>-280708</v>
      </c>
    </row>
    <row r="17" spans="1:7" x14ac:dyDescent="0.15">
      <c r="A17" t="s">
        <v>63</v>
      </c>
      <c r="B17">
        <v>-255</v>
      </c>
      <c r="C17">
        <f t="shared" si="0"/>
        <v>-0.3</v>
      </c>
      <c r="D17" t="s">
        <v>50</v>
      </c>
      <c r="E17" t="e">
        <f t="shared" si="1"/>
        <v>#VALUE!</v>
      </c>
      <c r="F17">
        <v>2094</v>
      </c>
      <c r="G17" t="s">
        <v>50</v>
      </c>
    </row>
    <row r="18" spans="1:7" x14ac:dyDescent="0.15">
      <c r="A18" t="s">
        <v>64</v>
      </c>
      <c r="B18">
        <v>28127</v>
      </c>
      <c r="C18">
        <f t="shared" si="0"/>
        <v>28.1</v>
      </c>
      <c r="D18">
        <v>-179329</v>
      </c>
      <c r="E18">
        <f t="shared" si="1"/>
        <v>-115.7</v>
      </c>
      <c r="F18">
        <v>44929</v>
      </c>
      <c r="G18">
        <v>-280708</v>
      </c>
    </row>
    <row r="19" spans="1:7" x14ac:dyDescent="0.15">
      <c r="A19" t="s">
        <v>65</v>
      </c>
      <c r="B19">
        <v>0.01</v>
      </c>
      <c r="D19">
        <v>-0.09</v>
      </c>
      <c r="E19">
        <f t="shared" si="1"/>
        <v>-111.1</v>
      </c>
      <c r="F19">
        <v>0.02</v>
      </c>
      <c r="G19">
        <v>-0.14000000000000001</v>
      </c>
    </row>
    <row r="20" spans="1:7" x14ac:dyDescent="0.15">
      <c r="A20" t="s">
        <v>66</v>
      </c>
      <c r="B20">
        <v>0.01</v>
      </c>
      <c r="D20">
        <v>-0.09</v>
      </c>
      <c r="E20">
        <f t="shared" si="1"/>
        <v>-111.1</v>
      </c>
      <c r="F20">
        <v>0.02</v>
      </c>
      <c r="G20">
        <v>-0.14000000000000001</v>
      </c>
    </row>
    <row r="21" spans="1:7" x14ac:dyDescent="0.15">
      <c r="A21" t="s">
        <v>67</v>
      </c>
      <c r="B21">
        <v>2131224</v>
      </c>
      <c r="D21">
        <v>2054799</v>
      </c>
      <c r="E21">
        <f t="shared" si="1"/>
        <v>3.7</v>
      </c>
      <c r="F21">
        <v>2119567</v>
      </c>
      <c r="G21">
        <v>2045604</v>
      </c>
    </row>
    <row r="22" spans="1:7" x14ac:dyDescent="0.15">
      <c r="A22" t="s">
        <v>68</v>
      </c>
      <c r="B22">
        <v>2278155</v>
      </c>
      <c r="D22">
        <v>2054799</v>
      </c>
      <c r="E22">
        <f t="shared" si="1"/>
        <v>10.9</v>
      </c>
      <c r="F22">
        <v>2252205</v>
      </c>
      <c r="G22">
        <v>2045604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0B0D47-7106-49A4-8C18-6FAE91C5CA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node</vt:lpstr>
      <vt:lpstr>edge</vt:lpstr>
      <vt:lpstr>option</vt:lpstr>
      <vt:lpstr>Table007 (Page 4)</vt:lpstr>
      <vt:lpstr>tip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sadaco</dc:creator>
  <cp:lastModifiedBy>sadaco</cp:lastModifiedBy>
  <dcterms:created xsi:type="dcterms:W3CDTF">2023-07-20T01:07:19Z</dcterms:created>
  <dcterms:modified xsi:type="dcterms:W3CDTF">2024-08-07T11:00:00Z</dcterms:modified>
</cp:coreProperties>
</file>