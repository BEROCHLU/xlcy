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124226"/>
  <xr:revisionPtr revIDLastSave="0" documentId="13_ncr:1_{CD464FC6-C7E8-4ED1-9707-E619492CFD96}" xr6:coauthVersionLast="47" xr6:coauthVersionMax="47" xr10:uidLastSave="{00000000-0000-0000-0000-000000000000}"/>
  <bookViews>
    <workbookView xWindow="930" yWindow="2340" windowWidth="22275" windowHeight="12015" tabRatio="587" xr2:uid="{00000000-000D-0000-FFFF-FFFF00000000}"/>
  </bookViews>
  <sheets>
    <sheet name="node" sheetId="1" r:id="rId1"/>
    <sheet name="edge" sheetId="2" r:id="rId2"/>
    <sheet name="option" sheetId="3" r:id="rId3"/>
    <sheet name="Table017 (Page 6)" sheetId="13" r:id="rId4"/>
    <sheet name="Table019 (Page 7)" sheetId="12" r:id="rId5"/>
  </sheets>
  <definedNames>
    <definedName name="_xlnm._FilterDatabase" localSheetId="1" hidden="1">edge!$A$1:$B$6</definedName>
    <definedName name="_xlnm._FilterDatabase" localSheetId="0" hidden="1">node!$A$1:$J$4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3" l="1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4" i="13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H13" i="2" l="1"/>
  <c r="I13" i="2"/>
  <c r="H14" i="2"/>
  <c r="I14" i="2"/>
  <c r="D13" i="2"/>
  <c r="D14" i="2"/>
  <c r="D13" i="1"/>
  <c r="D14" i="1"/>
  <c r="D15" i="1"/>
  <c r="D3" i="2" l="1"/>
  <c r="D4" i="2"/>
  <c r="D5" i="2"/>
  <c r="D6" i="2"/>
  <c r="D7" i="2"/>
  <c r="D8" i="2"/>
  <c r="D9" i="2"/>
  <c r="D10" i="2"/>
  <c r="D12" i="2"/>
  <c r="D11" i="2"/>
  <c r="D2" i="2"/>
  <c r="H12" i="2"/>
  <c r="I12" i="2"/>
  <c r="H11" i="2"/>
  <c r="I11" i="2"/>
  <c r="D11" i="1"/>
  <c r="D12" i="1"/>
  <c r="H9" i="2"/>
  <c r="I9" i="2"/>
  <c r="H10" i="2"/>
  <c r="I10" i="2"/>
  <c r="D2" i="1"/>
  <c r="D3" i="1"/>
  <c r="D4" i="1"/>
  <c r="D5" i="1"/>
  <c r="D6" i="1"/>
  <c r="D7" i="1"/>
  <c r="D8" i="1"/>
  <c r="D9" i="1"/>
  <c r="D10" i="1"/>
  <c r="H3" i="2" l="1"/>
  <c r="I3" i="2"/>
  <c r="H4" i="2"/>
  <c r="I4" i="2"/>
  <c r="H5" i="2"/>
  <c r="I5" i="2"/>
  <c r="H6" i="2"/>
  <c r="I6" i="2"/>
  <c r="H7" i="2"/>
  <c r="I7" i="2"/>
  <c r="H8" i="2"/>
  <c r="I8" i="2"/>
  <c r="I2" i="2"/>
  <c r="H2" i="2"/>
</calcChain>
</file>

<file path=xl/sharedStrings.xml><?xml version="1.0" encoding="utf-8"?>
<sst xmlns="http://schemas.openxmlformats.org/spreadsheetml/2006/main" count="173" uniqueCount="71">
  <si>
    <t>memo</t>
  </si>
  <si>
    <t>source</t>
  </si>
  <si>
    <t>target</t>
  </si>
  <si>
    <t>value</t>
    <phoneticPr fontId="1"/>
  </si>
  <si>
    <t>Grey</t>
    <phoneticPr fontId="1"/>
  </si>
  <si>
    <t>Red</t>
    <phoneticPr fontId="1"/>
  </si>
  <si>
    <t>Green</t>
    <phoneticPr fontId="1"/>
  </si>
  <si>
    <t>none</t>
  </si>
  <si>
    <t>css.height</t>
    <phoneticPr fontId="1"/>
  </si>
  <si>
    <t>css.font-size</t>
    <phoneticPr fontId="1"/>
  </si>
  <si>
    <t>css.background-opacity</t>
    <phoneticPr fontId="1"/>
  </si>
  <si>
    <t>css.color</t>
    <phoneticPr fontId="1"/>
  </si>
  <si>
    <t>css.background-color</t>
    <phoneticPr fontId="1"/>
  </si>
  <si>
    <t>memo</t>
    <phoneticPr fontId="1"/>
  </si>
  <si>
    <t>css.shape</t>
    <phoneticPr fontId="1"/>
  </si>
  <si>
    <t>css.line-color</t>
    <phoneticPr fontId="1"/>
  </si>
  <si>
    <t>css.target-arrow-color</t>
    <phoneticPr fontId="1"/>
  </si>
  <si>
    <t>css.target-arrow-shape</t>
    <phoneticPr fontId="1"/>
  </si>
  <si>
    <t>none</t>
    <phoneticPr fontId="1"/>
  </si>
  <si>
    <t>css.line-opacity</t>
    <phoneticPr fontId="1"/>
  </si>
  <si>
    <t>css.text-opacity</t>
    <phoneticPr fontId="1"/>
  </si>
  <si>
    <t>css.line-style</t>
    <phoneticPr fontId="1"/>
  </si>
  <si>
    <t>css.width</t>
    <phoneticPr fontId="1"/>
  </si>
  <si>
    <t>node_unit</t>
    <phoneticPr fontId="1"/>
  </si>
  <si>
    <t>edge_unit</t>
    <phoneticPr fontId="1"/>
  </si>
  <si>
    <t>use_scale_width</t>
    <phoneticPr fontId="1"/>
  </si>
  <si>
    <t>use_label_merge</t>
    <phoneticPr fontId="1"/>
  </si>
  <si>
    <t>avoid_overlap_padding</t>
    <phoneticPr fontId="1"/>
  </si>
  <si>
    <t>$</t>
    <phoneticPr fontId="1"/>
  </si>
  <si>
    <t>M</t>
    <phoneticPr fontId="1"/>
  </si>
  <si>
    <t>edge_currency</t>
    <phoneticPr fontId="1"/>
  </si>
  <si>
    <t>node_currency</t>
    <phoneticPr fontId="1"/>
  </si>
  <si>
    <t>image</t>
    <phoneticPr fontId="1"/>
  </si>
  <si>
    <t>label</t>
    <phoneticPr fontId="1"/>
  </si>
  <si>
    <t>_change</t>
    <phoneticPr fontId="1"/>
  </si>
  <si>
    <t>_emoji</t>
    <phoneticPr fontId="1"/>
  </si>
  <si>
    <t>Darkgreen</t>
    <phoneticPr fontId="1"/>
  </si>
  <si>
    <t>Research and development</t>
  </si>
  <si>
    <t>Provision for income taxes</t>
  </si>
  <si>
    <t>Column1</t>
  </si>
  <si>
    <t>Operating income</t>
  </si>
  <si>
    <t>Net income</t>
  </si>
  <si>
    <t>Sales and marketing</t>
  </si>
  <si>
    <t>General and administrative</t>
  </si>
  <si>
    <t>Income before income taxes</t>
  </si>
  <si>
    <t>Grey</t>
  </si>
  <si>
    <t>2023</t>
  </si>
  <si>
    <t>2022</t>
  </si>
  <si>
    <t>Revenue:</t>
  </si>
  <si>
    <t>Product</t>
  </si>
  <si>
    <t>Service and other</t>
  </si>
  <si>
    <t>Total revenue</t>
  </si>
  <si>
    <t>Gross margin</t>
  </si>
  <si>
    <t>Cost of Product</t>
  </si>
  <si>
    <t>Cost of Product</t>
    <phoneticPr fontId="1"/>
  </si>
  <si>
    <t>Cost of Service and other</t>
  </si>
  <si>
    <t>Cost of Service and other</t>
    <phoneticPr fontId="1"/>
  </si>
  <si>
    <t>Microsoft-logo.png</t>
    <phoneticPr fontId="1"/>
  </si>
  <si>
    <t>🌤️</t>
  </si>
  <si>
    <t>💧</t>
  </si>
  <si>
    <t>🖥️</t>
  </si>
  <si>
    <t>Other expense, net</t>
  </si>
  <si>
    <t>Cost of revenue:</t>
    <phoneticPr fontId="1"/>
  </si>
  <si>
    <t>20222</t>
    <phoneticPr fontId="1"/>
  </si>
  <si>
    <t>Column2</t>
  </si>
  <si>
    <t>Column3</t>
  </si>
  <si>
    <t>Cost of revenue:</t>
  </si>
  <si>
    <t>-</t>
    <phoneticPr fontId="1"/>
  </si>
  <si>
    <t>Column4</t>
    <phoneticPr fontId="1"/>
  </si>
  <si>
    <t>Other expense, net</t>
    <phoneticPr fontId="1"/>
  </si>
  <si>
    <t>2025-Q3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</si>
</sst>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176" formatCode="0.0"/>
  </numFmts>
  <fonts count="7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Segoe UI Emoji"/>
      <family val="2"/>
    </font>
    <font>
      <sz val="12"/>
      <color theme="1"/>
      <name val="Segoe UI Symbol"/>
      <family val="2"/>
    </font>
    <font>
      <sz val="12"/>
      <color theme="1"/>
      <name val="ＭＳ Ｐゴシック"/>
      <family val="2"/>
      <scheme val="minor"/>
    </font>
    <font>
      <b/>
      <sz val="12"/>
      <color theme="0"/>
      <name val="ＭＳ Ｐゴシック"/>
      <family val="2"/>
      <scheme val="minor"/>
    </font>
    <font>
      <sz val="12"/>
      <color rgb="FFFF000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3" fontId="0" fillId="0" borderId="0" xfId="0" applyNumberFormat="1"/>
    <xf numFmtId="0" fontId="3" fillId="0" borderId="0" xfId="0" applyFont="1"/>
    <xf numFmtId="0" fontId="2" fillId="0" borderId="0" xfId="0" applyFont="1"/>
    <xf numFmtId="176" fontId="0" fillId="0" borderId="0" xfId="1" applyNumberFormat="1" applyFont="1" applyAlignment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3" fontId="0" fillId="0" borderId="5" xfId="0" applyNumberFormat="1" applyBorder="1"/>
    <xf numFmtId="0" fontId="0" fillId="0" borderId="6" xfId="0" applyBorder="1"/>
    <xf numFmtId="3" fontId="0" fillId="3" borderId="5" xfId="0" applyNumberFormat="1" applyFill="1" applyBorder="1"/>
    <xf numFmtId="0" fontId="0" fillId="0" borderId="1" xfId="0" applyBorder="1"/>
    <xf numFmtId="3" fontId="0" fillId="0" borderId="2" xfId="0" applyNumberFormat="1" applyBorder="1"/>
    <xf numFmtId="0" fontId="0" fillId="0" borderId="3" xfId="0" applyBorder="1"/>
    <xf numFmtId="0" fontId="6" fillId="0" borderId="0" xfId="0" applyFont="1"/>
    <xf numFmtId="0" fontId="0" fillId="0" borderId="0" xfId="0" applyNumberFormat="1"/>
    <xf numFmtId="24" fontId="0" fillId="0" borderId="0" xfId="0" applyNumberFormat="1"/>
  </cellXfs>
  <cellStyles count="2">
    <cellStyle name="パーセント" xfId="1" builtinId="5"/>
    <cellStyle name="標準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DED4E-601E-4EBC-AE01-FE48D0B96C91}" name="Table017__Page_6" displayName="Table017__Page_6" ref="A1:D19" totalsRowShown="0">
  <autoFilter ref="A1:D19" xr:uid="{498DED4E-601E-4EBC-AE01-FE48D0B96C91}"/>
  <tableColumns count="4">
    <tableColumn id="1" xr3:uid="{FBC0BDF8-9106-490E-8240-E972DE085A98}" name="Column1" dataDxfId="3"/>
    <tableColumn id="2" xr3:uid="{3D26992B-4CCA-4D99-981B-37B99FC19C66}" name="Column2" dataDxfId="2"/>
    <tableColumn id="3" xr3:uid="{8299E81D-3BD7-40BB-B77F-B24007BBAE49}" name="Column3" dataDxfId="1"/>
    <tableColumn id="4" xr3:uid="{E9E464F5-8960-4316-85BC-C625040C0EAB}" name="Column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6"/>
  <sheetViews>
    <sheetView tabSelected="1" workbookViewId="0"/>
  </sheetViews>
  <sheetFormatPr defaultRowHeight="14.25" x14ac:dyDescent="0.15"/>
  <cols>
    <col min="1" max="1" width="33.75" bestFit="1" customWidth="1"/>
    <col min="2" max="2" width="9.875" bestFit="1" customWidth="1"/>
    <col min="3" max="3" width="6.5" bestFit="1" customWidth="1"/>
    <col min="4" max="4" width="18.375" bestFit="1" customWidth="1"/>
    <col min="5" max="5" width="19.375" customWidth="1"/>
    <col min="6" max="6" width="9.5" bestFit="1" customWidth="1"/>
    <col min="7" max="7" width="8.75" bestFit="1" customWidth="1"/>
    <col min="8" max="8" width="20.25" bestFit="1" customWidth="1"/>
    <col min="9" max="9" width="22.5" bestFit="1" customWidth="1"/>
    <col min="10" max="10" width="12.375" bestFit="1" customWidth="1"/>
    <col min="12" max="12" width="9.625" bestFit="1" customWidth="1"/>
  </cols>
  <sheetData>
    <row r="1" spans="1:12" x14ac:dyDescent="0.15">
      <c r="A1" t="s">
        <v>33</v>
      </c>
      <c r="B1" t="s">
        <v>34</v>
      </c>
      <c r="C1" t="s">
        <v>35</v>
      </c>
      <c r="D1" t="s">
        <v>13</v>
      </c>
      <c r="E1" t="s">
        <v>32</v>
      </c>
      <c r="F1" t="s">
        <v>14</v>
      </c>
      <c r="G1" t="s">
        <v>11</v>
      </c>
      <c r="H1" t="s">
        <v>12</v>
      </c>
      <c r="I1" t="s">
        <v>10</v>
      </c>
      <c r="J1" t="s">
        <v>9</v>
      </c>
      <c r="K1" t="s">
        <v>22</v>
      </c>
      <c r="L1" t="s">
        <v>8</v>
      </c>
    </row>
    <row r="2" spans="1:12" ht="17.25" x14ac:dyDescent="0.3">
      <c r="A2" t="s">
        <v>49</v>
      </c>
      <c r="B2" s="4">
        <v>-10.3</v>
      </c>
      <c r="C2" s="3" t="s">
        <v>59</v>
      </c>
      <c r="D2" t="str">
        <f t="shared" ref="D2:D15" si="0">B2&amp;"%"&amp;C2</f>
        <v>-10.3%💧</v>
      </c>
      <c r="H2" t="s">
        <v>4</v>
      </c>
      <c r="I2">
        <v>0.9</v>
      </c>
      <c r="J2">
        <v>30</v>
      </c>
    </row>
    <row r="3" spans="1:12" ht="17.25" x14ac:dyDescent="0.3">
      <c r="A3" t="s">
        <v>50</v>
      </c>
      <c r="B3" s="4">
        <v>22.3</v>
      </c>
      <c r="C3" s="3" t="s">
        <v>58</v>
      </c>
      <c r="D3" t="str">
        <f t="shared" si="0"/>
        <v>22.3%🌤️</v>
      </c>
      <c r="H3" t="s">
        <v>4</v>
      </c>
      <c r="I3">
        <v>0.9</v>
      </c>
      <c r="J3">
        <v>30</v>
      </c>
    </row>
    <row r="4" spans="1:12" ht="17.25" x14ac:dyDescent="0.3">
      <c r="A4" t="s">
        <v>51</v>
      </c>
      <c r="B4" s="4">
        <v>13.3</v>
      </c>
      <c r="C4" s="3" t="s">
        <v>58</v>
      </c>
      <c r="D4" t="str">
        <f t="shared" si="0"/>
        <v>13.3%🌤️</v>
      </c>
      <c r="H4" t="s">
        <v>4</v>
      </c>
      <c r="I4">
        <v>0.9</v>
      </c>
      <c r="J4">
        <v>30</v>
      </c>
    </row>
    <row r="5" spans="1:12" ht="17.25" x14ac:dyDescent="0.3">
      <c r="A5" t="s">
        <v>53</v>
      </c>
      <c r="B5" s="4">
        <v>-30</v>
      </c>
      <c r="C5" s="3" t="s">
        <v>58</v>
      </c>
      <c r="D5" t="str">
        <f t="shared" si="0"/>
        <v>-30%🌤️</v>
      </c>
      <c r="H5" t="s">
        <v>5</v>
      </c>
      <c r="I5">
        <v>0.9</v>
      </c>
      <c r="J5">
        <v>30</v>
      </c>
    </row>
    <row r="6" spans="1:12" ht="17.25" x14ac:dyDescent="0.3">
      <c r="A6" t="s">
        <v>55</v>
      </c>
      <c r="B6" s="4">
        <v>33.299999999999997</v>
      </c>
      <c r="C6" s="2" t="s">
        <v>59</v>
      </c>
      <c r="D6" t="str">
        <f t="shared" si="0"/>
        <v>33.3%💧</v>
      </c>
      <c r="H6" t="s">
        <v>5</v>
      </c>
      <c r="I6">
        <v>0.9</v>
      </c>
      <c r="J6">
        <v>30</v>
      </c>
    </row>
    <row r="7" spans="1:12" ht="17.25" x14ac:dyDescent="0.3">
      <c r="A7" t="s">
        <v>52</v>
      </c>
      <c r="B7" s="4">
        <v>11.1</v>
      </c>
      <c r="C7" s="3" t="s">
        <v>58</v>
      </c>
      <c r="D7" t="str">
        <f t="shared" si="0"/>
        <v>11.1%🌤️</v>
      </c>
      <c r="H7" t="s">
        <v>6</v>
      </c>
      <c r="I7">
        <v>0.9</v>
      </c>
      <c r="J7">
        <v>30</v>
      </c>
    </row>
    <row r="8" spans="1:12" ht="17.25" x14ac:dyDescent="0.3">
      <c r="A8" t="s">
        <v>37</v>
      </c>
      <c r="B8" s="4">
        <v>7.1</v>
      </c>
      <c r="C8" s="2" t="s">
        <v>59</v>
      </c>
      <c r="D8" t="str">
        <f t="shared" si="0"/>
        <v>7.1%💧</v>
      </c>
      <c r="H8" t="s">
        <v>5</v>
      </c>
      <c r="I8">
        <v>0.9</v>
      </c>
      <c r="J8">
        <v>30</v>
      </c>
    </row>
    <row r="9" spans="1:12" ht="17.25" x14ac:dyDescent="0.3">
      <c r="A9" t="s">
        <v>42</v>
      </c>
      <c r="B9" s="4">
        <v>0.1</v>
      </c>
      <c r="C9" s="2" t="s">
        <v>59</v>
      </c>
      <c r="D9" t="str">
        <f t="shared" si="0"/>
        <v>0.1%💧</v>
      </c>
      <c r="H9" t="s">
        <v>5</v>
      </c>
      <c r="I9">
        <v>0.9</v>
      </c>
      <c r="J9">
        <v>30</v>
      </c>
    </row>
    <row r="10" spans="1:12" ht="17.25" x14ac:dyDescent="0.3">
      <c r="A10" t="s">
        <v>43</v>
      </c>
      <c r="B10" s="4">
        <v>-9.1999999999999993</v>
      </c>
      <c r="C10" s="3" t="s">
        <v>58</v>
      </c>
      <c r="D10" t="str">
        <f t="shared" si="0"/>
        <v>-9.2%🌤️</v>
      </c>
      <c r="H10" t="s">
        <v>5</v>
      </c>
      <c r="I10">
        <v>0.9</v>
      </c>
      <c r="J10">
        <v>30</v>
      </c>
    </row>
    <row r="11" spans="1:12" ht="17.25" x14ac:dyDescent="0.3">
      <c r="A11" t="s">
        <v>40</v>
      </c>
      <c r="B11">
        <v>16</v>
      </c>
      <c r="C11" s="3" t="s">
        <v>58</v>
      </c>
      <c r="D11" t="str">
        <f t="shared" si="0"/>
        <v>16%🌤️</v>
      </c>
      <c r="H11" t="s">
        <v>6</v>
      </c>
      <c r="I11">
        <v>0.9</v>
      </c>
      <c r="J11">
        <v>30</v>
      </c>
    </row>
    <row r="12" spans="1:12" ht="17.25" x14ac:dyDescent="0.3">
      <c r="A12" t="s">
        <v>69</v>
      </c>
      <c r="B12">
        <v>-27</v>
      </c>
      <c r="C12" s="3" t="s">
        <v>58</v>
      </c>
      <c r="D12" t="str">
        <f t="shared" si="0"/>
        <v>-27%🌤️</v>
      </c>
      <c r="H12" t="s">
        <v>5</v>
      </c>
      <c r="I12">
        <v>0.9</v>
      </c>
      <c r="J12">
        <v>30</v>
      </c>
    </row>
    <row r="13" spans="1:12" ht="17.25" x14ac:dyDescent="0.3">
      <c r="A13" t="s">
        <v>44</v>
      </c>
      <c r="B13">
        <v>17.399999999999999</v>
      </c>
      <c r="C13" s="2" t="s">
        <v>59</v>
      </c>
      <c r="D13" t="str">
        <f t="shared" si="0"/>
        <v>17.4%💧</v>
      </c>
      <c r="H13" t="s">
        <v>6</v>
      </c>
      <c r="I13">
        <v>0.9</v>
      </c>
      <c r="J13">
        <v>30</v>
      </c>
    </row>
    <row r="14" spans="1:12" ht="17.25" x14ac:dyDescent="0.3">
      <c r="A14" t="s">
        <v>38</v>
      </c>
      <c r="B14">
        <v>16</v>
      </c>
      <c r="C14" s="2" t="s">
        <v>59</v>
      </c>
      <c r="D14" t="str">
        <f t="shared" si="0"/>
        <v>16%💧</v>
      </c>
      <c r="H14" t="s">
        <v>5</v>
      </c>
      <c r="I14">
        <v>0.9</v>
      </c>
      <c r="J14">
        <v>30</v>
      </c>
    </row>
    <row r="15" spans="1:12" ht="17.25" x14ac:dyDescent="0.3">
      <c r="A15" t="s">
        <v>41</v>
      </c>
      <c r="B15">
        <v>17.7</v>
      </c>
      <c r="C15" s="3" t="s">
        <v>58</v>
      </c>
      <c r="D15" t="str">
        <f t="shared" si="0"/>
        <v>17.7%🌤️</v>
      </c>
      <c r="H15" t="s">
        <v>36</v>
      </c>
      <c r="I15">
        <v>0.9</v>
      </c>
      <c r="J15">
        <v>30</v>
      </c>
    </row>
    <row r="16" spans="1:12" ht="17.25" x14ac:dyDescent="0.3">
      <c r="A16" s="3" t="s">
        <v>60</v>
      </c>
      <c r="D16" t="s">
        <v>70</v>
      </c>
      <c r="E16" t="s">
        <v>57</v>
      </c>
      <c r="J16">
        <v>0.1</v>
      </c>
    </row>
  </sheetData>
  <phoneticPr fontId="1"/>
  <pageMargins left="0.7" right="0.7" top="0.75" bottom="0.75" header="0.3" footer="0.3"/>
  <pageSetup paperSize="9" orientation="portrait" r:id="rId1"/>
  <ignoredErrors>
    <ignoredError sqref="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4"/>
  <sheetViews>
    <sheetView workbookViewId="0">
      <selection activeCell="B11" sqref="B11"/>
    </sheetView>
  </sheetViews>
  <sheetFormatPr defaultRowHeight="14.25" x14ac:dyDescent="0.15"/>
  <cols>
    <col min="1" max="1" width="33.125" bestFit="1" customWidth="1"/>
    <col min="2" max="2" width="33.75" bestFit="1" customWidth="1"/>
    <col min="3" max="3" width="7.875" customWidth="1"/>
    <col min="4" max="4" width="8.375" bestFit="1" customWidth="1"/>
    <col min="5" max="5" width="6.5" bestFit="1" customWidth="1"/>
    <col min="6" max="6" width="9" bestFit="1" customWidth="1"/>
    <col min="7" max="7" width="12.75" bestFit="1" customWidth="1"/>
    <col min="8" max="8" width="10" bestFit="1" customWidth="1"/>
    <col min="9" max="9" width="21.75" bestFit="1" customWidth="1"/>
    <col min="10" max="10" width="22.625" bestFit="1" customWidth="1"/>
    <col min="11" max="11" width="15" bestFit="1" customWidth="1"/>
    <col min="12" max="12" width="15.625" bestFit="1" customWidth="1"/>
    <col min="13" max="13" width="12.375" bestFit="1" customWidth="1"/>
    <col min="14" max="14" width="12.625" bestFit="1" customWidth="1"/>
  </cols>
  <sheetData>
    <row r="1" spans="1:14" x14ac:dyDescent="0.15">
      <c r="A1" t="s">
        <v>1</v>
      </c>
      <c r="B1" t="s">
        <v>2</v>
      </c>
      <c r="C1" t="s">
        <v>3</v>
      </c>
      <c r="D1" t="s">
        <v>33</v>
      </c>
      <c r="E1" t="s">
        <v>0</v>
      </c>
      <c r="F1" t="s">
        <v>22</v>
      </c>
      <c r="G1" t="s">
        <v>15</v>
      </c>
      <c r="H1" t="s">
        <v>11</v>
      </c>
      <c r="I1" t="s">
        <v>16</v>
      </c>
      <c r="J1" t="s">
        <v>17</v>
      </c>
      <c r="K1" t="s">
        <v>19</v>
      </c>
      <c r="L1" t="s">
        <v>20</v>
      </c>
      <c r="M1" t="s">
        <v>9</v>
      </c>
      <c r="N1" t="s">
        <v>21</v>
      </c>
    </row>
    <row r="2" spans="1:14" x14ac:dyDescent="0.15">
      <c r="A2" t="s">
        <v>49</v>
      </c>
      <c r="B2" t="s">
        <v>51</v>
      </c>
      <c r="C2" s="1">
        <v>15319</v>
      </c>
      <c r="D2" s="1">
        <f>C2</f>
        <v>15319</v>
      </c>
      <c r="G2" t="s">
        <v>45</v>
      </c>
      <c r="H2" t="str">
        <f>G2</f>
        <v>Grey</v>
      </c>
      <c r="I2" t="str">
        <f>G2</f>
        <v>Grey</v>
      </c>
      <c r="J2" t="s">
        <v>18</v>
      </c>
      <c r="K2">
        <v>0.2</v>
      </c>
      <c r="L2">
        <v>1</v>
      </c>
      <c r="M2">
        <v>32</v>
      </c>
    </row>
    <row r="3" spans="1:14" x14ac:dyDescent="0.15">
      <c r="A3" t="s">
        <v>50</v>
      </c>
      <c r="B3" t="s">
        <v>51</v>
      </c>
      <c r="C3" s="1">
        <v>54747</v>
      </c>
      <c r="D3" s="1">
        <f t="shared" ref="D3:D14" si="0">C3</f>
        <v>54747</v>
      </c>
      <c r="G3" t="s">
        <v>45</v>
      </c>
      <c r="H3" t="str">
        <f t="shared" ref="H3:H10" si="1">G3</f>
        <v>Grey</v>
      </c>
      <c r="I3" t="str">
        <f t="shared" ref="I3:I10" si="2">G3</f>
        <v>Grey</v>
      </c>
      <c r="J3" t="s">
        <v>7</v>
      </c>
      <c r="K3">
        <v>0.2</v>
      </c>
      <c r="L3">
        <v>1</v>
      </c>
      <c r="M3">
        <v>32</v>
      </c>
    </row>
    <row r="4" spans="1:14" x14ac:dyDescent="0.15">
      <c r="A4" t="s">
        <v>51</v>
      </c>
      <c r="B4" t="s">
        <v>53</v>
      </c>
      <c r="C4" s="1">
        <v>3037</v>
      </c>
      <c r="D4" s="1">
        <f t="shared" si="0"/>
        <v>3037</v>
      </c>
      <c r="G4" t="s">
        <v>5</v>
      </c>
      <c r="H4" t="str">
        <f t="shared" si="1"/>
        <v>Red</v>
      </c>
      <c r="I4" t="str">
        <f t="shared" si="2"/>
        <v>Red</v>
      </c>
      <c r="J4" t="s">
        <v>7</v>
      </c>
      <c r="K4">
        <v>0.2</v>
      </c>
      <c r="L4">
        <v>1</v>
      </c>
      <c r="M4">
        <v>32</v>
      </c>
    </row>
    <row r="5" spans="1:14" x14ac:dyDescent="0.15">
      <c r="A5" t="s">
        <v>51</v>
      </c>
      <c r="B5" t="s">
        <v>55</v>
      </c>
      <c r="C5" s="1">
        <v>18882</v>
      </c>
      <c r="D5" s="1">
        <f t="shared" si="0"/>
        <v>18882</v>
      </c>
      <c r="G5" t="s">
        <v>5</v>
      </c>
      <c r="H5" t="str">
        <f t="shared" si="1"/>
        <v>Red</v>
      </c>
      <c r="I5" t="str">
        <f t="shared" si="2"/>
        <v>Red</v>
      </c>
      <c r="J5" t="s">
        <v>7</v>
      </c>
      <c r="K5">
        <v>0.2</v>
      </c>
      <c r="L5">
        <v>1</v>
      </c>
      <c r="M5">
        <v>32</v>
      </c>
    </row>
    <row r="6" spans="1:14" x14ac:dyDescent="0.15">
      <c r="A6" t="s">
        <v>51</v>
      </c>
      <c r="B6" t="s">
        <v>52</v>
      </c>
      <c r="C6" s="1">
        <v>48147</v>
      </c>
      <c r="D6" s="1">
        <f t="shared" si="0"/>
        <v>48147</v>
      </c>
      <c r="G6" t="s">
        <v>6</v>
      </c>
      <c r="H6" t="str">
        <f t="shared" si="1"/>
        <v>Green</v>
      </c>
      <c r="I6" t="str">
        <f t="shared" si="2"/>
        <v>Green</v>
      </c>
      <c r="J6" t="s">
        <v>7</v>
      </c>
      <c r="K6">
        <v>0.2</v>
      </c>
      <c r="L6">
        <v>1</v>
      </c>
      <c r="M6">
        <v>32</v>
      </c>
    </row>
    <row r="7" spans="1:14" x14ac:dyDescent="0.15">
      <c r="A7" t="s">
        <v>52</v>
      </c>
      <c r="B7" t="s">
        <v>37</v>
      </c>
      <c r="C7" s="1">
        <v>8198</v>
      </c>
      <c r="D7" s="1">
        <f t="shared" si="0"/>
        <v>8198</v>
      </c>
      <c r="G7" t="s">
        <v>5</v>
      </c>
      <c r="H7" t="str">
        <f t="shared" si="1"/>
        <v>Red</v>
      </c>
      <c r="I7" t="str">
        <f t="shared" si="2"/>
        <v>Red</v>
      </c>
      <c r="J7" t="s">
        <v>7</v>
      </c>
      <c r="K7">
        <v>0.2</v>
      </c>
      <c r="L7">
        <v>1</v>
      </c>
      <c r="M7">
        <v>32</v>
      </c>
    </row>
    <row r="8" spans="1:14" x14ac:dyDescent="0.15">
      <c r="A8" t="s">
        <v>52</v>
      </c>
      <c r="B8" t="s">
        <v>42</v>
      </c>
      <c r="C8" s="1">
        <v>6212</v>
      </c>
      <c r="D8" s="1">
        <f t="shared" si="0"/>
        <v>6212</v>
      </c>
      <c r="G8" t="s">
        <v>5</v>
      </c>
      <c r="H8" t="str">
        <f t="shared" si="1"/>
        <v>Red</v>
      </c>
      <c r="I8" t="str">
        <f t="shared" si="2"/>
        <v>Red</v>
      </c>
      <c r="J8" t="s">
        <v>7</v>
      </c>
      <c r="K8">
        <v>0.2</v>
      </c>
      <c r="L8">
        <v>1</v>
      </c>
      <c r="M8">
        <v>32</v>
      </c>
    </row>
    <row r="9" spans="1:14" x14ac:dyDescent="0.15">
      <c r="A9" t="s">
        <v>52</v>
      </c>
      <c r="B9" t="s">
        <v>43</v>
      </c>
      <c r="C9" s="1">
        <v>1737</v>
      </c>
      <c r="D9" s="1">
        <f t="shared" si="0"/>
        <v>1737</v>
      </c>
      <c r="G9" t="s">
        <v>5</v>
      </c>
      <c r="H9" t="str">
        <f t="shared" si="1"/>
        <v>Red</v>
      </c>
      <c r="I9" t="str">
        <f t="shared" si="2"/>
        <v>Red</v>
      </c>
      <c r="J9" t="s">
        <v>7</v>
      </c>
      <c r="K9">
        <v>0.2</v>
      </c>
      <c r="L9">
        <v>1</v>
      </c>
      <c r="M9">
        <v>32</v>
      </c>
    </row>
    <row r="10" spans="1:14" x14ac:dyDescent="0.15">
      <c r="A10" t="s">
        <v>52</v>
      </c>
      <c r="B10" t="s">
        <v>40</v>
      </c>
      <c r="C10" s="1">
        <v>32000</v>
      </c>
      <c r="D10" s="1">
        <f t="shared" si="0"/>
        <v>32000</v>
      </c>
      <c r="G10" t="s">
        <v>6</v>
      </c>
      <c r="H10" t="str">
        <f t="shared" si="1"/>
        <v>Green</v>
      </c>
      <c r="I10" t="str">
        <f t="shared" si="2"/>
        <v>Green</v>
      </c>
      <c r="J10" t="s">
        <v>7</v>
      </c>
      <c r="K10">
        <v>0.2</v>
      </c>
      <c r="L10">
        <v>1</v>
      </c>
      <c r="M10">
        <v>32</v>
      </c>
    </row>
    <row r="11" spans="1:14" x14ac:dyDescent="0.15">
      <c r="A11" t="s">
        <v>40</v>
      </c>
      <c r="B11" t="s">
        <v>69</v>
      </c>
      <c r="C11" s="18">
        <v>623</v>
      </c>
      <c r="D11" s="1">
        <f>C11</f>
        <v>623</v>
      </c>
      <c r="G11" t="s">
        <v>5</v>
      </c>
      <c r="H11" t="str">
        <f>G11</f>
        <v>Red</v>
      </c>
      <c r="I11" t="str">
        <f>G11</f>
        <v>Red</v>
      </c>
      <c r="J11" t="s">
        <v>7</v>
      </c>
      <c r="K11">
        <v>0.2</v>
      </c>
      <c r="L11">
        <v>1</v>
      </c>
      <c r="M11">
        <v>32</v>
      </c>
    </row>
    <row r="12" spans="1:14" x14ac:dyDescent="0.15">
      <c r="A12" t="s">
        <v>40</v>
      </c>
      <c r="B12" t="s">
        <v>44</v>
      </c>
      <c r="C12" s="1">
        <v>31377</v>
      </c>
      <c r="D12" s="1">
        <f t="shared" si="0"/>
        <v>31377</v>
      </c>
      <c r="G12" t="s">
        <v>6</v>
      </c>
      <c r="H12" t="str">
        <f t="shared" ref="H12" si="3">G12</f>
        <v>Green</v>
      </c>
      <c r="I12" t="str">
        <f t="shared" ref="I12" si="4">G12</f>
        <v>Green</v>
      </c>
      <c r="J12" t="s">
        <v>7</v>
      </c>
      <c r="K12">
        <v>0.2</v>
      </c>
      <c r="L12">
        <v>1</v>
      </c>
      <c r="M12">
        <v>32</v>
      </c>
    </row>
    <row r="13" spans="1:14" x14ac:dyDescent="0.15">
      <c r="A13" t="s">
        <v>44</v>
      </c>
      <c r="B13" t="s">
        <v>38</v>
      </c>
      <c r="C13">
        <v>5553</v>
      </c>
      <c r="D13" s="1">
        <f t="shared" si="0"/>
        <v>5553</v>
      </c>
      <c r="G13" t="s">
        <v>5</v>
      </c>
      <c r="H13" t="str">
        <f t="shared" ref="H13:H14" si="5">G13</f>
        <v>Red</v>
      </c>
      <c r="I13" t="str">
        <f t="shared" ref="I13:I14" si="6">G13</f>
        <v>Red</v>
      </c>
      <c r="J13" t="s">
        <v>7</v>
      </c>
      <c r="K13">
        <v>0.2</v>
      </c>
      <c r="L13">
        <v>1</v>
      </c>
      <c r="M13">
        <v>32</v>
      </c>
    </row>
    <row r="14" spans="1:14" x14ac:dyDescent="0.15">
      <c r="A14" t="s">
        <v>44</v>
      </c>
      <c r="B14" t="s">
        <v>41</v>
      </c>
      <c r="C14">
        <v>25824</v>
      </c>
      <c r="D14" s="1">
        <f t="shared" si="0"/>
        <v>25824</v>
      </c>
      <c r="G14" t="s">
        <v>36</v>
      </c>
      <c r="H14" t="str">
        <f t="shared" si="5"/>
        <v>Darkgreen</v>
      </c>
      <c r="I14" t="str">
        <f t="shared" si="6"/>
        <v>Darkgreen</v>
      </c>
      <c r="J14" t="s">
        <v>7</v>
      </c>
      <c r="K14">
        <v>0.2</v>
      </c>
      <c r="L14">
        <v>1</v>
      </c>
      <c r="M14">
        <v>32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"/>
  <sheetViews>
    <sheetView workbookViewId="0"/>
  </sheetViews>
  <sheetFormatPr defaultRowHeight="14.25" x14ac:dyDescent="0.15"/>
  <cols>
    <col min="1" max="1" width="14" bestFit="1" customWidth="1"/>
    <col min="2" max="2" width="13.875" bestFit="1" customWidth="1"/>
    <col min="3" max="3" width="9.25" bestFit="1" customWidth="1"/>
    <col min="4" max="4" width="9.125" bestFit="1" customWidth="1"/>
    <col min="5" max="5" width="15" bestFit="1" customWidth="1"/>
    <col min="6" max="6" width="14.75" bestFit="1" customWidth="1"/>
    <col min="7" max="7" width="20.5" bestFit="1" customWidth="1"/>
  </cols>
  <sheetData>
    <row r="1" spans="1:7" x14ac:dyDescent="0.15">
      <c r="A1" t="s">
        <v>31</v>
      </c>
      <c r="B1" t="s">
        <v>30</v>
      </c>
      <c r="C1" t="s">
        <v>23</v>
      </c>
      <c r="D1" t="s">
        <v>24</v>
      </c>
      <c r="E1" t="s">
        <v>26</v>
      </c>
      <c r="F1" t="s">
        <v>25</v>
      </c>
      <c r="G1" t="s">
        <v>27</v>
      </c>
    </row>
    <row r="2" spans="1:7" x14ac:dyDescent="0.15">
      <c r="A2" t="s">
        <v>28</v>
      </c>
      <c r="C2" t="s">
        <v>29</v>
      </c>
      <c r="E2" t="b">
        <v>1</v>
      </c>
      <c r="F2" t="b">
        <v>1</v>
      </c>
      <c r="G2">
        <v>250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A01D-21C0-4CB9-A8FC-21960A94576A}">
  <dimension ref="A1:D19"/>
  <sheetViews>
    <sheetView workbookViewId="0">
      <selection activeCell="D8" sqref="D8:D18"/>
    </sheetView>
  </sheetViews>
  <sheetFormatPr defaultRowHeight="14.25" x14ac:dyDescent="0.15"/>
  <cols>
    <col min="1" max="1" width="26.75" bestFit="1" customWidth="1"/>
    <col min="2" max="3" width="11.875" bestFit="1" customWidth="1"/>
  </cols>
  <sheetData>
    <row r="1" spans="1:4" x14ac:dyDescent="0.15">
      <c r="A1" t="s">
        <v>39</v>
      </c>
      <c r="B1" t="s">
        <v>64</v>
      </c>
      <c r="C1" t="s">
        <v>65</v>
      </c>
      <c r="D1" t="s">
        <v>68</v>
      </c>
    </row>
    <row r="2" spans="1:4" x14ac:dyDescent="0.15">
      <c r="A2" s="19"/>
      <c r="B2" s="19">
        <v>2025</v>
      </c>
      <c r="C2" s="19">
        <v>2024</v>
      </c>
      <c r="D2" s="19" t="s">
        <v>67</v>
      </c>
    </row>
    <row r="3" spans="1:4" x14ac:dyDescent="0.15">
      <c r="A3" s="19" t="s">
        <v>48</v>
      </c>
      <c r="B3" s="19"/>
      <c r="C3" s="19"/>
      <c r="D3" s="19"/>
    </row>
    <row r="4" spans="1:4" x14ac:dyDescent="0.15">
      <c r="A4" s="19" t="s">
        <v>49</v>
      </c>
      <c r="B4" s="20">
        <v>15319</v>
      </c>
      <c r="C4" s="20">
        <v>17080</v>
      </c>
      <c r="D4" s="19">
        <f>ROUND((B4-C4)/C4*100,1)</f>
        <v>-10.3</v>
      </c>
    </row>
    <row r="5" spans="1:4" x14ac:dyDescent="0.15">
      <c r="A5" s="19" t="s">
        <v>50</v>
      </c>
      <c r="B5" s="1">
        <v>54747</v>
      </c>
      <c r="C5" s="1">
        <v>44778</v>
      </c>
      <c r="D5" s="19">
        <f t="shared" ref="D5:D18" si="0">ROUND((B5-C5)/C5*100,1)</f>
        <v>22.3</v>
      </c>
    </row>
    <row r="6" spans="1:4" x14ac:dyDescent="0.15">
      <c r="A6" s="19" t="s">
        <v>51</v>
      </c>
      <c r="B6" s="1">
        <v>70066</v>
      </c>
      <c r="C6" s="1">
        <v>61858</v>
      </c>
      <c r="D6" s="19">
        <f t="shared" si="0"/>
        <v>13.3</v>
      </c>
    </row>
    <row r="7" spans="1:4" x14ac:dyDescent="0.15">
      <c r="A7" s="19" t="s">
        <v>66</v>
      </c>
      <c r="B7" s="19"/>
      <c r="C7" s="19"/>
      <c r="D7" s="19" t="e">
        <f t="shared" si="0"/>
        <v>#DIV/0!</v>
      </c>
    </row>
    <row r="8" spans="1:4" x14ac:dyDescent="0.15">
      <c r="A8" s="19" t="s">
        <v>49</v>
      </c>
      <c r="B8" s="1">
        <v>3037</v>
      </c>
      <c r="C8" s="1">
        <v>4339</v>
      </c>
      <c r="D8" s="19">
        <f t="shared" si="0"/>
        <v>-30</v>
      </c>
    </row>
    <row r="9" spans="1:4" x14ac:dyDescent="0.15">
      <c r="A9" s="19" t="s">
        <v>50</v>
      </c>
      <c r="B9" s="1">
        <v>18882</v>
      </c>
      <c r="C9" s="1">
        <v>14166</v>
      </c>
      <c r="D9" s="19">
        <f t="shared" si="0"/>
        <v>33.299999999999997</v>
      </c>
    </row>
    <row r="10" spans="1:4" x14ac:dyDescent="0.15">
      <c r="A10" s="19" t="s">
        <v>52</v>
      </c>
      <c r="B10" s="1">
        <v>48147</v>
      </c>
      <c r="C10" s="1">
        <v>43353</v>
      </c>
      <c r="D10" s="19">
        <f t="shared" si="0"/>
        <v>11.1</v>
      </c>
    </row>
    <row r="11" spans="1:4" x14ac:dyDescent="0.15">
      <c r="A11" s="19" t="s">
        <v>37</v>
      </c>
      <c r="B11" s="1">
        <v>8198</v>
      </c>
      <c r="C11" s="1">
        <v>7653</v>
      </c>
      <c r="D11" s="19">
        <f t="shared" si="0"/>
        <v>7.1</v>
      </c>
    </row>
    <row r="12" spans="1:4" x14ac:dyDescent="0.15">
      <c r="A12" s="19" t="s">
        <v>42</v>
      </c>
      <c r="B12" s="1">
        <v>6212</v>
      </c>
      <c r="C12" s="1">
        <v>6207</v>
      </c>
      <c r="D12" s="19">
        <f t="shared" si="0"/>
        <v>0.1</v>
      </c>
    </row>
    <row r="13" spans="1:4" x14ac:dyDescent="0.15">
      <c r="A13" s="19" t="s">
        <v>43</v>
      </c>
      <c r="B13" s="1">
        <v>1737</v>
      </c>
      <c r="C13" s="1">
        <v>1912</v>
      </c>
      <c r="D13" s="19">
        <f t="shared" si="0"/>
        <v>-9.1999999999999993</v>
      </c>
    </row>
    <row r="14" spans="1:4" x14ac:dyDescent="0.15">
      <c r="A14" s="19" t="s">
        <v>40</v>
      </c>
      <c r="B14" s="1">
        <v>32000</v>
      </c>
      <c r="C14" s="1">
        <v>27581</v>
      </c>
      <c r="D14" s="19">
        <f t="shared" si="0"/>
        <v>16</v>
      </c>
    </row>
    <row r="15" spans="1:4" x14ac:dyDescent="0.15">
      <c r="A15" s="19" t="s">
        <v>69</v>
      </c>
      <c r="B15" s="19">
        <v>-623</v>
      </c>
      <c r="C15" s="19">
        <v>-854</v>
      </c>
      <c r="D15" s="19">
        <f t="shared" si="0"/>
        <v>-27</v>
      </c>
    </row>
    <row r="16" spans="1:4" x14ac:dyDescent="0.15">
      <c r="A16" s="19" t="s">
        <v>44</v>
      </c>
      <c r="B16" s="1">
        <v>31377</v>
      </c>
      <c r="C16" s="1">
        <v>26727</v>
      </c>
      <c r="D16" s="19">
        <f t="shared" si="0"/>
        <v>17.399999999999999</v>
      </c>
    </row>
    <row r="17" spans="1:4" x14ac:dyDescent="0.15">
      <c r="A17" s="19" t="s">
        <v>38</v>
      </c>
      <c r="B17" s="1">
        <v>5553</v>
      </c>
      <c r="C17" s="1">
        <v>4788</v>
      </c>
      <c r="D17" s="19">
        <f t="shared" si="0"/>
        <v>16</v>
      </c>
    </row>
    <row r="18" spans="1:4" x14ac:dyDescent="0.15">
      <c r="A18" s="19" t="s">
        <v>41</v>
      </c>
      <c r="B18" s="20">
        <v>25824</v>
      </c>
      <c r="C18" s="20">
        <v>21939</v>
      </c>
      <c r="D18" s="19">
        <f t="shared" si="0"/>
        <v>17.7</v>
      </c>
    </row>
    <row r="19" spans="1:4" x14ac:dyDescent="0.15">
      <c r="A19" s="19"/>
      <c r="B19" s="19"/>
      <c r="C19" s="19"/>
      <c r="D19" s="19"/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B34D3-F78F-4ABC-AA71-7C5D6FC0B2BC}">
  <dimension ref="A1:D17"/>
  <sheetViews>
    <sheetView workbookViewId="0">
      <selection activeCell="G9" sqref="G9"/>
    </sheetView>
  </sheetViews>
  <sheetFormatPr defaultRowHeight="14.25" x14ac:dyDescent="0.15"/>
  <cols>
    <col min="1" max="1" width="26.75" bestFit="1" customWidth="1"/>
    <col min="2" max="3" width="8.25" bestFit="1" customWidth="1"/>
  </cols>
  <sheetData>
    <row r="1" spans="1:4" x14ac:dyDescent="0.15">
      <c r="A1" s="5" t="s">
        <v>39</v>
      </c>
      <c r="B1" s="6" t="s">
        <v>46</v>
      </c>
      <c r="C1" s="6" t="s">
        <v>47</v>
      </c>
      <c r="D1" s="7" t="s">
        <v>63</v>
      </c>
    </row>
    <row r="2" spans="1:4" x14ac:dyDescent="0.15">
      <c r="A2" s="8" t="s">
        <v>48</v>
      </c>
      <c r="B2" s="9"/>
      <c r="C2" s="9"/>
      <c r="D2" s="10" t="e">
        <f t="shared" ref="D2:D17" si="0">ROUND((B2-C2)/C2*100,1)</f>
        <v>#DIV/0!</v>
      </c>
    </row>
    <row r="3" spans="1:4" x14ac:dyDescent="0.15">
      <c r="A3" s="11" t="s">
        <v>49</v>
      </c>
      <c r="B3" s="12">
        <v>18941</v>
      </c>
      <c r="C3" s="12">
        <v>16517</v>
      </c>
      <c r="D3" s="13">
        <f t="shared" si="0"/>
        <v>14.7</v>
      </c>
    </row>
    <row r="4" spans="1:4" x14ac:dyDescent="0.15">
      <c r="A4" s="8" t="s">
        <v>50</v>
      </c>
      <c r="B4" s="14">
        <v>43079</v>
      </c>
      <c r="C4" s="14">
        <v>36230</v>
      </c>
      <c r="D4" s="10">
        <f t="shared" si="0"/>
        <v>18.899999999999999</v>
      </c>
    </row>
    <row r="5" spans="1:4" x14ac:dyDescent="0.15">
      <c r="A5" s="11" t="s">
        <v>51</v>
      </c>
      <c r="B5" s="12">
        <v>62020</v>
      </c>
      <c r="C5" s="12">
        <v>52747</v>
      </c>
      <c r="D5" s="13">
        <f t="shared" si="0"/>
        <v>17.600000000000001</v>
      </c>
    </row>
    <row r="6" spans="1:4" x14ac:dyDescent="0.15">
      <c r="A6" s="8" t="s">
        <v>62</v>
      </c>
      <c r="B6" s="9"/>
      <c r="C6" s="9"/>
      <c r="D6" s="10" t="e">
        <f t="shared" si="0"/>
        <v>#DIV/0!</v>
      </c>
    </row>
    <row r="7" spans="1:4" x14ac:dyDescent="0.15">
      <c r="A7" s="11" t="s">
        <v>54</v>
      </c>
      <c r="B7" s="12">
        <v>5964</v>
      </c>
      <c r="C7" s="12">
        <v>5690</v>
      </c>
      <c r="D7" s="13">
        <f t="shared" si="0"/>
        <v>4.8</v>
      </c>
    </row>
    <row r="8" spans="1:4" x14ac:dyDescent="0.15">
      <c r="A8" s="8" t="s">
        <v>56</v>
      </c>
      <c r="B8" s="14">
        <v>13659</v>
      </c>
      <c r="C8" s="14">
        <v>11798</v>
      </c>
      <c r="D8" s="10">
        <f t="shared" si="0"/>
        <v>15.8</v>
      </c>
    </row>
    <row r="9" spans="1:4" x14ac:dyDescent="0.15">
      <c r="A9" s="11" t="s">
        <v>52</v>
      </c>
      <c r="B9" s="12">
        <v>42397</v>
      </c>
      <c r="C9" s="12">
        <v>35259</v>
      </c>
      <c r="D9" s="13">
        <f t="shared" si="0"/>
        <v>20.2</v>
      </c>
    </row>
    <row r="10" spans="1:4" x14ac:dyDescent="0.15">
      <c r="A10" s="8" t="s">
        <v>37</v>
      </c>
      <c r="B10" s="14">
        <v>7142</v>
      </c>
      <c r="C10" s="14">
        <v>6844</v>
      </c>
      <c r="D10" s="10">
        <f t="shared" si="0"/>
        <v>4.4000000000000004</v>
      </c>
    </row>
    <row r="11" spans="1:4" x14ac:dyDescent="0.15">
      <c r="A11" s="11" t="s">
        <v>42</v>
      </c>
      <c r="B11" s="12">
        <v>6246</v>
      </c>
      <c r="C11" s="12">
        <v>5679</v>
      </c>
      <c r="D11" s="13">
        <f t="shared" si="0"/>
        <v>10</v>
      </c>
    </row>
    <row r="12" spans="1:4" x14ac:dyDescent="0.15">
      <c r="A12" s="8" t="s">
        <v>43</v>
      </c>
      <c r="B12" s="14">
        <v>1977</v>
      </c>
      <c r="C12" s="14">
        <v>2337</v>
      </c>
      <c r="D12" s="10">
        <f t="shared" si="0"/>
        <v>-15.4</v>
      </c>
    </row>
    <row r="13" spans="1:4" x14ac:dyDescent="0.15">
      <c r="A13" s="11" t="s">
        <v>40</v>
      </c>
      <c r="B13" s="12">
        <v>27032</v>
      </c>
      <c r="C13" s="12">
        <v>20399</v>
      </c>
      <c r="D13" s="13">
        <f t="shared" si="0"/>
        <v>32.5</v>
      </c>
    </row>
    <row r="14" spans="1:4" x14ac:dyDescent="0.15">
      <c r="A14" s="8" t="s">
        <v>61</v>
      </c>
      <c r="B14" s="9">
        <v>-506</v>
      </c>
      <c r="C14" s="9">
        <v>-60</v>
      </c>
      <c r="D14" s="10">
        <f t="shared" si="0"/>
        <v>743.3</v>
      </c>
    </row>
    <row r="15" spans="1:4" x14ac:dyDescent="0.15">
      <c r="A15" s="11" t="s">
        <v>44</v>
      </c>
      <c r="B15" s="12">
        <v>26526</v>
      </c>
      <c r="C15" s="12">
        <v>20339</v>
      </c>
      <c r="D15" s="13">
        <f t="shared" si="0"/>
        <v>30.4</v>
      </c>
    </row>
    <row r="16" spans="1:4" x14ac:dyDescent="0.15">
      <c r="A16" s="8" t="s">
        <v>38</v>
      </c>
      <c r="B16" s="14">
        <v>4656</v>
      </c>
      <c r="C16" s="14">
        <v>3914</v>
      </c>
      <c r="D16" s="10">
        <f t="shared" si="0"/>
        <v>19</v>
      </c>
    </row>
    <row r="17" spans="1:4" x14ac:dyDescent="0.15">
      <c r="A17" s="15" t="s">
        <v>41</v>
      </c>
      <c r="B17" s="16">
        <v>21870</v>
      </c>
      <c r="C17" s="16">
        <v>16425</v>
      </c>
      <c r="D17" s="17">
        <f t="shared" si="0"/>
        <v>33.200000000000003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04697-0a90-4c71-a4aa-af07d1d3fdc9">
      <Terms xmlns="http://schemas.microsoft.com/office/infopath/2007/PartnerControls"/>
    </lcf76f155ced4ddcb4097134ff3c332f>
    <TaxCatchAll xmlns="d9dc673b-9e34-4001-b69a-8484e8c1b81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82FBA7EA2E994B9F7097B62E4A85E1" ma:contentTypeVersion="" ma:contentTypeDescription="新しいドキュメントを作成します。" ma:contentTypeScope="" ma:versionID="fab937c8be173dcb9661cf34cfec0cff">
  <xsd:schema xmlns:xsd="http://www.w3.org/2001/XMLSchema" xmlns:xs="http://www.w3.org/2001/XMLSchema" xmlns:p="http://schemas.microsoft.com/office/2006/metadata/properties" xmlns:ns2="d1704697-0a90-4c71-a4aa-af07d1d3fdc9" xmlns:ns3="d9dc673b-9e34-4001-b69a-8484e8c1b815" xmlns:ns4="e77deb97-a418-4714-85c7-85516ffd9823" targetNamespace="http://schemas.microsoft.com/office/2006/metadata/properties" ma:root="true" ma:fieldsID="ee975be754954f23b5832ff12ae38e26" ns2:_="" ns3:_="" ns4:_="">
    <xsd:import namespace="d1704697-0a90-4c71-a4aa-af07d1d3fdc9"/>
    <xsd:import namespace="d9dc673b-9e34-4001-b69a-8484e8c1b815"/>
    <xsd:import namespace="e77deb97-a418-4714-85c7-85516ffd9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04697-0a90-4c71-a4aa-af07d1d3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673b-9e34-4001-b69a-8484e8c1b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6D7F976-0A6A-4B1A-ADA7-7D29164B49AB}" ma:internalName="TaxCatchAll" ma:showField="CatchAllData" ma:web="{e77deb97-a418-4714-85c7-85516ffd98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deb97-a418-4714-85c7-85516ffd9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370E365-A5ED-4F2B-B92E-871A4954FF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CF7D2F-2A27-4C3C-9922-3528D881A5EA}">
  <ds:schemaRefs>
    <ds:schemaRef ds:uri="http://schemas.microsoft.com/office/2006/documentManagement/types"/>
    <ds:schemaRef ds:uri="e77deb97-a418-4714-85c7-85516ffd9823"/>
    <ds:schemaRef ds:uri="http://schemas.microsoft.com/office/2006/metadata/properties"/>
    <ds:schemaRef ds:uri="d9dc673b-9e34-4001-b69a-8484e8c1b815"/>
    <ds:schemaRef ds:uri="http://purl.org/dc/terms/"/>
    <ds:schemaRef ds:uri="http://purl.org/dc/elements/1.1/"/>
    <ds:schemaRef ds:uri="d1704697-0a90-4c71-a4aa-af07d1d3fdc9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BBCB2E9-D392-4B94-A907-2D2252F25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04697-0a90-4c71-a4aa-af07d1d3fdc9"/>
    <ds:schemaRef ds:uri="d9dc673b-9e34-4001-b69a-8484e8c1b815"/>
    <ds:schemaRef ds:uri="e77deb97-a418-4714-85c7-85516ffd9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9846024-0BEF-4FF2-A886-FC34D7F5E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node</vt:lpstr>
      <vt:lpstr>edge</vt:lpstr>
      <vt:lpstr>option</vt:lpstr>
      <vt:lpstr>Table017 (Page 6)</vt:lpstr>
      <vt:lpstr>Table019 (Page 7)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2025-04-30T20:50:51Z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0x010100E782FBA7EA2E994B9F7097B62E4A85E1</vt:lpwstr>
  </property>
  <property fmtid="{D5CDD505-2E9C-101B-9397-08002B2CF9AE}" pid="3" name="MediaServiceImageTags">
    <vt:lpwstr/>
  </property>
</Properties>
</file>