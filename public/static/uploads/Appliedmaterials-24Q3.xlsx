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xlcy\public\static\remote\"/>
    </mc:Choice>
  </mc:AlternateContent>
  <xr:revisionPtr revIDLastSave="0" documentId="13_ncr:1_{280667BD-30BC-4B81-BA03-2F10CD86AC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de" sheetId="5" r:id="rId1"/>
    <sheet name="edge" sheetId="6" r:id="rId2"/>
    <sheet name="Table006 (Page 6)" sheetId="9" r:id="rId3"/>
    <sheet name="option" sheetId="7" r:id="rId4"/>
  </sheets>
  <definedNames>
    <definedName name="_xlnm._FilterDatabase" localSheetId="1" hidden="1">edge!$A$1:$B$6</definedName>
    <definedName name="_xlnm._FilterDatabase" localSheetId="0" hidden="1">node!$A$1:$A$3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9" l="1"/>
  <c r="D5" i="9"/>
  <c r="D6" i="9"/>
  <c r="D7" i="9"/>
  <c r="D8" i="9"/>
  <c r="D9" i="9"/>
  <c r="D10" i="9"/>
  <c r="D11" i="9"/>
  <c r="D12" i="9"/>
  <c r="D13" i="9"/>
  <c r="D2" i="9"/>
  <c r="D3" i="9"/>
  <c r="D13" i="5" l="1"/>
  <c r="D11" i="6"/>
  <c r="G11" i="6"/>
  <c r="H11" i="6"/>
  <c r="D12" i="6"/>
  <c r="G12" i="6"/>
  <c r="H12" i="6"/>
  <c r="D6" i="5" l="1"/>
  <c r="D4" i="5"/>
  <c r="D11" i="5"/>
  <c r="D5" i="5"/>
  <c r="G10" i="6" l="1"/>
  <c r="H10" i="6"/>
  <c r="D10" i="6"/>
  <c r="D5" i="6"/>
  <c r="D4" i="6"/>
  <c r="D3" i="6"/>
  <c r="D2" i="6"/>
  <c r="H9" i="6"/>
  <c r="G9" i="6"/>
  <c r="D9" i="6"/>
  <c r="G2" i="6"/>
  <c r="H2" i="6"/>
  <c r="G3" i="6"/>
  <c r="H3" i="6"/>
  <c r="G4" i="6"/>
  <c r="H4" i="6"/>
  <c r="G5" i="6"/>
  <c r="H5" i="6"/>
  <c r="D6" i="6"/>
  <c r="G6" i="6"/>
  <c r="H6" i="6"/>
  <c r="D7" i="6"/>
  <c r="G7" i="6"/>
  <c r="H7" i="6"/>
  <c r="D8" i="6"/>
  <c r="G8" i="6"/>
  <c r="H8" i="6"/>
  <c r="D2" i="5"/>
  <c r="D3" i="5"/>
  <c r="D7" i="5"/>
  <c r="D8" i="5"/>
  <c r="D12" i="5"/>
  <c r="D10" i="5"/>
  <c r="D9" i="5"/>
</calcChain>
</file>

<file path=xl/sharedStrings.xml><?xml version="1.0" encoding="utf-8"?>
<sst xmlns="http://schemas.openxmlformats.org/spreadsheetml/2006/main" count="126" uniqueCount="54">
  <si>
    <t>Gross profit</t>
  </si>
  <si>
    <t>Interest expense</t>
  </si>
  <si>
    <t>General and administrative</t>
  </si>
  <si>
    <t>Green</t>
    <phoneticPr fontId="1"/>
  </si>
  <si>
    <t>Red</t>
    <phoneticPr fontId="1"/>
  </si>
  <si>
    <t>Grey</t>
    <phoneticPr fontId="1"/>
  </si>
  <si>
    <t>css.background-opacity</t>
    <phoneticPr fontId="1"/>
  </si>
  <si>
    <t>css.color</t>
    <phoneticPr fontId="1"/>
  </si>
  <si>
    <t>image</t>
    <phoneticPr fontId="1"/>
  </si>
  <si>
    <t>memo</t>
    <phoneticPr fontId="1"/>
  </si>
  <si>
    <t>none</t>
  </si>
  <si>
    <t>memo</t>
  </si>
  <si>
    <t>target</t>
  </si>
  <si>
    <t>M</t>
    <phoneticPr fontId="1"/>
  </si>
  <si>
    <t>$</t>
    <phoneticPr fontId="1"/>
  </si>
  <si>
    <t>avoid_overlap_padding</t>
    <phoneticPr fontId="1"/>
  </si>
  <si>
    <t>use_label_merge</t>
    <phoneticPr fontId="1"/>
  </si>
  <si>
    <t>edge_unit</t>
    <phoneticPr fontId="1"/>
  </si>
  <si>
    <t>edge_currency</t>
    <phoneticPr fontId="1"/>
  </si>
  <si>
    <t>node_currency</t>
    <phoneticPr fontId="1"/>
  </si>
  <si>
    <t>💧</t>
    <phoneticPr fontId="1"/>
  </si>
  <si>
    <t>🌤️</t>
    <phoneticPr fontId="1"/>
  </si>
  <si>
    <t>css.font-size</t>
    <phoneticPr fontId="1"/>
  </si>
  <si>
    <t>css.background-color</t>
    <phoneticPr fontId="1"/>
  </si>
  <si>
    <t>css.shape</t>
    <phoneticPr fontId="1"/>
  </si>
  <si>
    <t>_emoji</t>
    <phoneticPr fontId="1"/>
  </si>
  <si>
    <t>_change</t>
    <phoneticPr fontId="1"/>
  </si>
  <si>
    <t>label</t>
    <phoneticPr fontId="1"/>
  </si>
  <si>
    <t>none</t>
    <phoneticPr fontId="1"/>
  </si>
  <si>
    <t>css.line-style</t>
    <phoneticPr fontId="1"/>
  </si>
  <si>
    <t>css.font-size</t>
    <phoneticPr fontId="1"/>
  </si>
  <si>
    <t>css.text-opacity</t>
    <phoneticPr fontId="1"/>
  </si>
  <si>
    <t>css.line-opacity</t>
    <phoneticPr fontId="1"/>
  </si>
  <si>
    <t>css.target-arrow-shape</t>
    <phoneticPr fontId="1"/>
  </si>
  <si>
    <t>css.target-arrow-color</t>
    <phoneticPr fontId="1"/>
  </si>
  <si>
    <t>css.color</t>
    <phoneticPr fontId="1"/>
  </si>
  <si>
    <t>css.line-color</t>
    <phoneticPr fontId="1"/>
  </si>
  <si>
    <t>label</t>
    <phoneticPr fontId="1"/>
  </si>
  <si>
    <t>value</t>
    <phoneticPr fontId="1"/>
  </si>
  <si>
    <t>source</t>
    <phoneticPr fontId="1"/>
  </si>
  <si>
    <t>use_scale_width</t>
    <phoneticPr fontId="1"/>
  </si>
  <si>
    <t>node_unit</t>
    <phoneticPr fontId="1"/>
  </si>
  <si>
    <t>parent</t>
    <phoneticPr fontId="1"/>
  </si>
  <si>
    <t>Provision for income taxes</t>
  </si>
  <si>
    <t>DarkGreen</t>
    <phoneticPr fontId="1"/>
  </si>
  <si>
    <t>Column1</t>
  </si>
  <si>
    <t>Income from operations</t>
  </si>
  <si>
    <t>Net income</t>
  </si>
  <si>
    <t>Net revenue</t>
  </si>
  <si>
    <t>Cost of products sold</t>
  </si>
  <si>
    <t>Research, development and engineering</t>
  </si>
  <si>
    <t>Marketing and selling</t>
  </si>
  <si>
    <t>Interest and other income (expense), net</t>
  </si>
  <si>
    <t>Income before 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</si>
</sst>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RowHeight="14.25" x14ac:dyDescent="0.15"/>
  <cols>
    <col min="1" max="1" width="40.375" style="1" customWidth="1"/>
    <col min="2" max="2" width="8.25" style="1" bestFit="1" customWidth="1"/>
    <col min="3" max="3" width="8.25" style="1" customWidth="1"/>
    <col min="4" max="4" width="11.375" style="1" customWidth="1"/>
    <col min="5" max="5" width="16.5" style="1" bestFit="1" customWidth="1"/>
    <col min="6" max="6" width="8" style="1" bestFit="1" customWidth="1"/>
    <col min="7" max="7" width="9.5" style="1" bestFit="1" customWidth="1"/>
    <col min="8" max="8" width="8.75" style="1" bestFit="1" customWidth="1"/>
    <col min="9" max="9" width="20.25" style="1" bestFit="1" customWidth="1"/>
    <col min="10" max="10" width="22.5" style="1" bestFit="1" customWidth="1"/>
    <col min="11" max="11" width="12.375" style="1" bestFit="1" customWidth="1"/>
    <col min="12" max="16384" width="9" style="1"/>
  </cols>
  <sheetData>
    <row r="1" spans="1:11" x14ac:dyDescent="0.15">
      <c r="A1" s="1" t="s">
        <v>27</v>
      </c>
      <c r="B1" s="1" t="s">
        <v>26</v>
      </c>
      <c r="C1" s="1" t="s">
        <v>25</v>
      </c>
      <c r="D1" s="1" t="s">
        <v>9</v>
      </c>
      <c r="E1" s="1" t="s">
        <v>8</v>
      </c>
      <c r="F1" s="1" t="s">
        <v>42</v>
      </c>
      <c r="G1" s="1" t="s">
        <v>24</v>
      </c>
      <c r="H1" s="1" t="s">
        <v>7</v>
      </c>
      <c r="I1" s="1" t="s">
        <v>23</v>
      </c>
      <c r="J1" s="1" t="s">
        <v>6</v>
      </c>
      <c r="K1" s="1" t="s">
        <v>22</v>
      </c>
    </row>
    <row r="2" spans="1:11" x14ac:dyDescent="0.15">
      <c r="A2" s="2" t="s">
        <v>48</v>
      </c>
      <c r="B2" s="1">
        <v>5.5</v>
      </c>
      <c r="C2" s="1" t="s">
        <v>21</v>
      </c>
      <c r="D2" s="1" t="str">
        <f t="shared" ref="D2:D13" si="0">B2&amp;"%"&amp;C2</f>
        <v>5.5%🌤️</v>
      </c>
      <c r="I2" s="1" t="s">
        <v>5</v>
      </c>
      <c r="J2" s="1">
        <v>0.9</v>
      </c>
      <c r="K2" s="1">
        <v>30</v>
      </c>
    </row>
    <row r="3" spans="1:11" x14ac:dyDescent="0.15">
      <c r="A3" s="2" t="s">
        <v>49</v>
      </c>
      <c r="B3" s="1">
        <v>3.6</v>
      </c>
      <c r="C3" s="1" t="s">
        <v>21</v>
      </c>
      <c r="D3" s="1" t="str">
        <f t="shared" si="0"/>
        <v>3.6%🌤️</v>
      </c>
      <c r="I3" s="1" t="s">
        <v>4</v>
      </c>
      <c r="J3" s="1">
        <v>0.9</v>
      </c>
      <c r="K3" s="1">
        <v>30</v>
      </c>
    </row>
    <row r="4" spans="1:11" x14ac:dyDescent="0.15">
      <c r="A4" s="2" t="s">
        <v>0</v>
      </c>
      <c r="B4" s="1">
        <v>7.7</v>
      </c>
      <c r="C4" s="1" t="s">
        <v>21</v>
      </c>
      <c r="D4" s="1" t="str">
        <f t="shared" si="0"/>
        <v>7.7%🌤️</v>
      </c>
      <c r="I4" s="1" t="s">
        <v>3</v>
      </c>
      <c r="J4" s="1">
        <v>0.9</v>
      </c>
      <c r="K4" s="1">
        <v>30</v>
      </c>
    </row>
    <row r="5" spans="1:11" x14ac:dyDescent="0.15">
      <c r="A5" s="3" t="s">
        <v>50</v>
      </c>
      <c r="B5" s="1">
        <v>9</v>
      </c>
      <c r="C5" s="1" t="s">
        <v>20</v>
      </c>
      <c r="D5" s="1" t="str">
        <f t="shared" si="0"/>
        <v>9%💧</v>
      </c>
      <c r="I5" s="1" t="s">
        <v>4</v>
      </c>
      <c r="J5" s="1">
        <v>0.9</v>
      </c>
      <c r="K5" s="1">
        <v>30</v>
      </c>
    </row>
    <row r="6" spans="1:11" x14ac:dyDescent="0.15">
      <c r="A6" s="2" t="s">
        <v>51</v>
      </c>
      <c r="B6" s="1">
        <v>6.2</v>
      </c>
      <c r="C6" s="1" t="s">
        <v>20</v>
      </c>
      <c r="D6" s="1" t="str">
        <f t="shared" si="0"/>
        <v>6.2%💧</v>
      </c>
      <c r="I6" s="1" t="s">
        <v>4</v>
      </c>
      <c r="J6" s="1">
        <v>0.9</v>
      </c>
      <c r="K6" s="1">
        <v>30</v>
      </c>
    </row>
    <row r="7" spans="1:11" x14ac:dyDescent="0.15">
      <c r="A7" s="2" t="s">
        <v>2</v>
      </c>
      <c r="B7" s="1">
        <v>3.7</v>
      </c>
      <c r="C7" s="1" t="s">
        <v>20</v>
      </c>
      <c r="D7" s="1" t="str">
        <f t="shared" si="0"/>
        <v>3.7%💧</v>
      </c>
      <c r="I7" s="1" t="s">
        <v>4</v>
      </c>
      <c r="J7" s="1">
        <v>0.9</v>
      </c>
      <c r="K7" s="1">
        <v>30</v>
      </c>
    </row>
    <row r="8" spans="1:11" x14ac:dyDescent="0.15">
      <c r="A8" s="2" t="s">
        <v>46</v>
      </c>
      <c r="B8" s="1">
        <v>7.8</v>
      </c>
      <c r="C8" s="1" t="s">
        <v>21</v>
      </c>
      <c r="D8" s="1" t="str">
        <f t="shared" si="0"/>
        <v>7.8%🌤️</v>
      </c>
      <c r="I8" s="1" t="s">
        <v>3</v>
      </c>
      <c r="J8" s="1">
        <v>0.9</v>
      </c>
      <c r="K8" s="1">
        <v>30</v>
      </c>
    </row>
    <row r="9" spans="1:11" x14ac:dyDescent="0.15">
      <c r="A9" s="2" t="s">
        <v>1</v>
      </c>
      <c r="B9" s="1">
        <v>5</v>
      </c>
      <c r="C9" s="1" t="s">
        <v>20</v>
      </c>
      <c r="D9" s="1" t="str">
        <f t="shared" si="0"/>
        <v>5%💧</v>
      </c>
      <c r="I9" s="1" t="s">
        <v>4</v>
      </c>
      <c r="J9" s="1">
        <v>0.9</v>
      </c>
      <c r="K9" s="1">
        <v>30</v>
      </c>
    </row>
    <row r="10" spans="1:11" x14ac:dyDescent="0.15">
      <c r="A10" s="2" t="s">
        <v>52</v>
      </c>
      <c r="B10">
        <v>26.6</v>
      </c>
      <c r="C10" s="1" t="s">
        <v>21</v>
      </c>
      <c r="D10" s="1" t="str">
        <f t="shared" si="0"/>
        <v>26.6%🌤️</v>
      </c>
      <c r="I10" s="1" t="s">
        <v>3</v>
      </c>
      <c r="J10" s="1">
        <v>0.9</v>
      </c>
      <c r="K10" s="1">
        <v>30</v>
      </c>
    </row>
    <row r="11" spans="1:11" x14ac:dyDescent="0.15">
      <c r="A11" s="2" t="s">
        <v>53</v>
      </c>
      <c r="B11" s="1">
        <v>8.5</v>
      </c>
      <c r="C11" s="1" t="s">
        <v>21</v>
      </c>
      <c r="D11" s="1" t="str">
        <f t="shared" si="0"/>
        <v>8.5%🌤️</v>
      </c>
      <c r="I11" s="1" t="s">
        <v>3</v>
      </c>
      <c r="J11" s="1">
        <v>0.9</v>
      </c>
      <c r="K11" s="1">
        <v>30</v>
      </c>
    </row>
    <row r="12" spans="1:11" x14ac:dyDescent="0.15">
      <c r="A12" s="3" t="s">
        <v>43</v>
      </c>
      <c r="B12">
        <v>3.7</v>
      </c>
      <c r="C12" s="1" t="s">
        <v>20</v>
      </c>
      <c r="D12" s="1" t="str">
        <f t="shared" si="0"/>
        <v>3.7%💧</v>
      </c>
      <c r="I12" s="1" t="s">
        <v>4</v>
      </c>
      <c r="J12" s="1">
        <v>0.9</v>
      </c>
      <c r="K12" s="1">
        <v>30</v>
      </c>
    </row>
    <row r="13" spans="1:11" x14ac:dyDescent="0.15">
      <c r="A13" s="1" t="s">
        <v>47</v>
      </c>
      <c r="B13">
        <v>9.3000000000000007</v>
      </c>
      <c r="C13" s="1" t="s">
        <v>21</v>
      </c>
      <c r="D13" s="1" t="str">
        <f t="shared" si="0"/>
        <v>9.3%🌤️</v>
      </c>
      <c r="I13" s="1" t="s">
        <v>44</v>
      </c>
      <c r="J13" s="1">
        <v>0.9</v>
      </c>
      <c r="K13" s="1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4.25" x14ac:dyDescent="0.15"/>
  <cols>
    <col min="1" max="1" width="38.125" style="1" customWidth="1"/>
    <col min="2" max="2" width="41.25" style="1" customWidth="1"/>
    <col min="3" max="3" width="10.125" style="1" customWidth="1"/>
    <col min="4" max="4" width="9.75" style="1" customWidth="1"/>
    <col min="5" max="5" width="6.5" style="1" bestFit="1" customWidth="1"/>
    <col min="6" max="6" width="12.75" style="1" bestFit="1" customWidth="1"/>
    <col min="7" max="7" width="8.75" style="1" bestFit="1" customWidth="1"/>
    <col min="8" max="8" width="21.75" style="1" bestFit="1" customWidth="1"/>
    <col min="9" max="9" width="22.625" style="1" bestFit="1" customWidth="1"/>
    <col min="10" max="10" width="15" style="1" bestFit="1" customWidth="1"/>
    <col min="11" max="11" width="15.625" style="1" bestFit="1" customWidth="1"/>
    <col min="12" max="12" width="12.375" style="1" bestFit="1" customWidth="1"/>
    <col min="13" max="13" width="12.625" style="1" bestFit="1" customWidth="1"/>
    <col min="14" max="16384" width="9" style="1"/>
  </cols>
  <sheetData>
    <row r="1" spans="1:13" x14ac:dyDescent="0.15">
      <c r="A1" s="1" t="s">
        <v>39</v>
      </c>
      <c r="B1" s="1" t="s">
        <v>12</v>
      </c>
      <c r="C1" s="1" t="s">
        <v>38</v>
      </c>
      <c r="D1" s="1" t="s">
        <v>37</v>
      </c>
      <c r="E1" s="1" t="s">
        <v>11</v>
      </c>
      <c r="F1" s="1" t="s">
        <v>36</v>
      </c>
      <c r="G1" s="1" t="s">
        <v>35</v>
      </c>
      <c r="H1" s="1" t="s">
        <v>34</v>
      </c>
      <c r="I1" s="1" t="s">
        <v>33</v>
      </c>
      <c r="J1" s="1" t="s">
        <v>32</v>
      </c>
      <c r="K1" s="1" t="s">
        <v>31</v>
      </c>
      <c r="L1" s="1" t="s">
        <v>30</v>
      </c>
      <c r="M1" s="1" t="s">
        <v>29</v>
      </c>
    </row>
    <row r="2" spans="1:13" x14ac:dyDescent="0.15">
      <c r="A2" s="1" t="s">
        <v>48</v>
      </c>
      <c r="B2" s="1" t="s">
        <v>49</v>
      </c>
      <c r="C2">
        <v>3573</v>
      </c>
      <c r="D2">
        <f>C2</f>
        <v>3573</v>
      </c>
      <c r="F2" s="1" t="s">
        <v>4</v>
      </c>
      <c r="G2" s="1" t="str">
        <f t="shared" ref="G2:G9" si="0">F2</f>
        <v>Red</v>
      </c>
      <c r="H2" s="1" t="str">
        <f t="shared" ref="H2:H9" si="1">F2</f>
        <v>Red</v>
      </c>
      <c r="I2" s="1" t="s">
        <v>28</v>
      </c>
      <c r="J2" s="1">
        <v>0.2</v>
      </c>
      <c r="K2" s="1">
        <v>1</v>
      </c>
      <c r="L2" s="1">
        <v>32</v>
      </c>
    </row>
    <row r="3" spans="1:13" x14ac:dyDescent="0.15">
      <c r="A3" s="1" t="s">
        <v>48</v>
      </c>
      <c r="B3" s="1" t="s">
        <v>0</v>
      </c>
      <c r="C3">
        <v>3205</v>
      </c>
      <c r="D3">
        <f>C3</f>
        <v>3205</v>
      </c>
      <c r="F3" s="1" t="s">
        <v>3</v>
      </c>
      <c r="G3" s="1" t="str">
        <f t="shared" si="0"/>
        <v>Green</v>
      </c>
      <c r="H3" s="1" t="str">
        <f t="shared" si="1"/>
        <v>Green</v>
      </c>
      <c r="I3" s="1" t="s">
        <v>10</v>
      </c>
      <c r="J3" s="1">
        <v>0.2</v>
      </c>
      <c r="K3" s="1">
        <v>1</v>
      </c>
      <c r="L3" s="1">
        <v>32</v>
      </c>
    </row>
    <row r="4" spans="1:13" x14ac:dyDescent="0.15">
      <c r="A4" s="1" t="s">
        <v>0</v>
      </c>
      <c r="B4" s="1" t="s">
        <v>50</v>
      </c>
      <c r="C4">
        <v>836</v>
      </c>
      <c r="D4">
        <f>C4</f>
        <v>836</v>
      </c>
      <c r="F4" s="1" t="s">
        <v>4</v>
      </c>
      <c r="G4" s="1" t="str">
        <f t="shared" si="0"/>
        <v>Red</v>
      </c>
      <c r="H4" s="1" t="str">
        <f t="shared" si="1"/>
        <v>Red</v>
      </c>
      <c r="I4" s="1" t="s">
        <v>10</v>
      </c>
      <c r="J4" s="1">
        <v>0.2</v>
      </c>
      <c r="K4" s="1">
        <v>1</v>
      </c>
      <c r="L4" s="1">
        <v>32</v>
      </c>
    </row>
    <row r="5" spans="1:13" x14ac:dyDescent="0.15">
      <c r="A5" s="1" t="s">
        <v>0</v>
      </c>
      <c r="B5" s="1" t="s">
        <v>51</v>
      </c>
      <c r="C5">
        <v>205</v>
      </c>
      <c r="D5">
        <f t="shared" ref="D5:D9" si="2">C5</f>
        <v>205</v>
      </c>
      <c r="F5" s="1" t="s">
        <v>4</v>
      </c>
      <c r="G5" s="1" t="str">
        <f t="shared" si="0"/>
        <v>Red</v>
      </c>
      <c r="H5" s="1" t="str">
        <f t="shared" si="1"/>
        <v>Red</v>
      </c>
      <c r="I5" s="1" t="s">
        <v>10</v>
      </c>
      <c r="J5" s="1">
        <v>0.2</v>
      </c>
      <c r="K5" s="1">
        <v>1</v>
      </c>
      <c r="L5" s="1">
        <v>32</v>
      </c>
    </row>
    <row r="6" spans="1:13" x14ac:dyDescent="0.15">
      <c r="A6" s="1" t="s">
        <v>0</v>
      </c>
      <c r="B6" s="1" t="s">
        <v>2</v>
      </c>
      <c r="C6">
        <v>222</v>
      </c>
      <c r="D6">
        <f t="shared" si="2"/>
        <v>222</v>
      </c>
      <c r="F6" s="1" t="s">
        <v>4</v>
      </c>
      <c r="G6" s="1" t="str">
        <f t="shared" si="0"/>
        <v>Red</v>
      </c>
      <c r="H6" s="1" t="str">
        <f t="shared" si="1"/>
        <v>Red</v>
      </c>
      <c r="I6" s="1" t="s">
        <v>10</v>
      </c>
      <c r="J6" s="1">
        <v>0.2</v>
      </c>
      <c r="K6" s="1">
        <v>1</v>
      </c>
      <c r="L6" s="1">
        <v>32</v>
      </c>
    </row>
    <row r="7" spans="1:13" x14ac:dyDescent="0.15">
      <c r="A7" s="1" t="s">
        <v>0</v>
      </c>
      <c r="B7" s="1" t="s">
        <v>46</v>
      </c>
      <c r="C7">
        <v>1942</v>
      </c>
      <c r="D7">
        <f t="shared" si="2"/>
        <v>1942</v>
      </c>
      <c r="F7" s="1" t="s">
        <v>3</v>
      </c>
      <c r="G7" s="1" t="str">
        <f t="shared" si="0"/>
        <v>Green</v>
      </c>
      <c r="H7" s="1" t="str">
        <f t="shared" si="1"/>
        <v>Green</v>
      </c>
      <c r="I7" s="1" t="s">
        <v>10</v>
      </c>
      <c r="J7" s="1">
        <v>0.2</v>
      </c>
      <c r="K7" s="1">
        <v>1</v>
      </c>
      <c r="L7" s="1">
        <v>32</v>
      </c>
    </row>
    <row r="8" spans="1:13" x14ac:dyDescent="0.15">
      <c r="A8" s="1" t="s">
        <v>46</v>
      </c>
      <c r="B8" s="1" t="s">
        <v>1</v>
      </c>
      <c r="C8">
        <v>63</v>
      </c>
      <c r="D8">
        <f t="shared" si="2"/>
        <v>63</v>
      </c>
      <c r="F8" s="1" t="s">
        <v>4</v>
      </c>
      <c r="G8" s="1" t="str">
        <f t="shared" si="0"/>
        <v>Red</v>
      </c>
      <c r="H8" s="1" t="str">
        <f t="shared" si="1"/>
        <v>Red</v>
      </c>
      <c r="I8" s="1" t="s">
        <v>10</v>
      </c>
      <c r="J8" s="1">
        <v>0.2</v>
      </c>
      <c r="K8" s="1">
        <v>1</v>
      </c>
      <c r="L8" s="1">
        <v>32</v>
      </c>
    </row>
    <row r="9" spans="1:13" x14ac:dyDescent="0.15">
      <c r="A9" s="1" t="s">
        <v>52</v>
      </c>
      <c r="B9" s="1" t="s">
        <v>46</v>
      </c>
      <c r="C9">
        <v>81</v>
      </c>
      <c r="D9">
        <f t="shared" si="2"/>
        <v>81</v>
      </c>
      <c r="F9" s="1" t="s">
        <v>3</v>
      </c>
      <c r="G9" s="1" t="str">
        <f t="shared" si="0"/>
        <v>Green</v>
      </c>
      <c r="H9" s="1" t="str">
        <f t="shared" si="1"/>
        <v>Green</v>
      </c>
      <c r="I9" s="1" t="s">
        <v>10</v>
      </c>
      <c r="J9" s="1">
        <v>0.2</v>
      </c>
      <c r="K9" s="1">
        <v>1</v>
      </c>
      <c r="L9" s="1">
        <v>32</v>
      </c>
    </row>
    <row r="10" spans="1:13" x14ac:dyDescent="0.15">
      <c r="A10" s="1" t="s">
        <v>46</v>
      </c>
      <c r="B10" s="1" t="s">
        <v>53</v>
      </c>
      <c r="C10">
        <v>1960</v>
      </c>
      <c r="D10">
        <f>C10</f>
        <v>1960</v>
      </c>
      <c r="F10" s="1" t="s">
        <v>3</v>
      </c>
      <c r="G10" s="1" t="str">
        <f>F10</f>
        <v>Green</v>
      </c>
      <c r="H10" s="1" t="str">
        <f>F10</f>
        <v>Green</v>
      </c>
      <c r="I10" s="1" t="s">
        <v>10</v>
      </c>
      <c r="J10" s="1">
        <v>0.2</v>
      </c>
      <c r="K10" s="1">
        <v>1</v>
      </c>
      <c r="L10" s="1">
        <v>32</v>
      </c>
    </row>
    <row r="11" spans="1:13" x14ac:dyDescent="0.15">
      <c r="A11" s="1" t="s">
        <v>53</v>
      </c>
      <c r="B11" s="1" t="s">
        <v>43</v>
      </c>
      <c r="C11" s="1">
        <v>255</v>
      </c>
      <c r="D11">
        <f t="shared" ref="D11:D12" si="3">C11</f>
        <v>255</v>
      </c>
      <c r="F11" s="1" t="s">
        <v>4</v>
      </c>
      <c r="G11" s="1" t="str">
        <f t="shared" ref="G11:G12" si="4">F11</f>
        <v>Red</v>
      </c>
      <c r="H11" s="1" t="str">
        <f t="shared" ref="H11:H12" si="5">F11</f>
        <v>Red</v>
      </c>
      <c r="I11" s="1" t="s">
        <v>10</v>
      </c>
      <c r="J11" s="1">
        <v>0.2</v>
      </c>
      <c r="K11" s="1">
        <v>1</v>
      </c>
      <c r="L11" s="1">
        <v>32</v>
      </c>
    </row>
    <row r="12" spans="1:13" x14ac:dyDescent="0.15">
      <c r="A12" s="1" t="s">
        <v>53</v>
      </c>
      <c r="B12" s="1" t="s">
        <v>47</v>
      </c>
      <c r="C12" s="1">
        <v>1705</v>
      </c>
      <c r="D12">
        <f t="shared" si="3"/>
        <v>1705</v>
      </c>
      <c r="F12" s="1" t="s">
        <v>44</v>
      </c>
      <c r="G12" s="1" t="str">
        <f t="shared" si="4"/>
        <v>DarkGreen</v>
      </c>
      <c r="H12" s="1" t="str">
        <f t="shared" si="5"/>
        <v>DarkGreen</v>
      </c>
      <c r="I12" s="1" t="s">
        <v>10</v>
      </c>
      <c r="J12" s="1">
        <v>0.2</v>
      </c>
      <c r="K12" s="1">
        <v>1</v>
      </c>
      <c r="L12" s="1">
        <v>32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'Table006 (Page 6)'!$A$2:$A$13</xm:f>
          </x14:formula1>
          <xm:sqref>A2:B13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E312-A6FB-49AD-90BD-256ABBF08FC2}">
  <dimension ref="A1:D13"/>
  <sheetViews>
    <sheetView workbookViewId="0">
      <selection activeCell="D2" sqref="D2:D13"/>
    </sheetView>
  </sheetViews>
  <sheetFormatPr defaultRowHeight="13.5" x14ac:dyDescent="0.15"/>
  <cols>
    <col min="1" max="1" width="37.125" bestFit="1" customWidth="1"/>
    <col min="2" max="3" width="11.625" bestFit="1" customWidth="1"/>
  </cols>
  <sheetData>
    <row r="1" spans="1:4" x14ac:dyDescent="0.15">
      <c r="A1" s="4" t="s">
        <v>45</v>
      </c>
      <c r="B1" s="5">
        <v>24</v>
      </c>
      <c r="C1" s="6">
        <v>23</v>
      </c>
    </row>
    <row r="2" spans="1:4" x14ac:dyDescent="0.15">
      <c r="A2" s="9" t="s">
        <v>48</v>
      </c>
      <c r="B2" s="10">
        <v>6778</v>
      </c>
      <c r="C2" s="11">
        <v>6425</v>
      </c>
      <c r="D2">
        <f>ROUND((B2-C2)/C2*100,1)</f>
        <v>5.5</v>
      </c>
    </row>
    <row r="3" spans="1:4" x14ac:dyDescent="0.15">
      <c r="A3" s="12" t="s">
        <v>49</v>
      </c>
      <c r="B3" s="13">
        <v>3573</v>
      </c>
      <c r="C3" s="14">
        <v>3449</v>
      </c>
      <c r="D3">
        <f>ROUND((B3-C3)/C3*100,1)</f>
        <v>3.6</v>
      </c>
    </row>
    <row r="4" spans="1:4" x14ac:dyDescent="0.15">
      <c r="A4" s="9" t="s">
        <v>0</v>
      </c>
      <c r="B4" s="10">
        <v>3205</v>
      </c>
      <c r="C4" s="11">
        <v>2976</v>
      </c>
      <c r="D4">
        <f t="shared" ref="D4:D13" si="0">ROUND((B4-C4)/C4*100,1)</f>
        <v>7.7</v>
      </c>
    </row>
    <row r="5" spans="1:4" x14ac:dyDescent="0.15">
      <c r="A5" s="9" t="s">
        <v>50</v>
      </c>
      <c r="B5" s="10">
        <v>836</v>
      </c>
      <c r="C5" s="11">
        <v>767</v>
      </c>
      <c r="D5">
        <f t="shared" si="0"/>
        <v>9</v>
      </c>
    </row>
    <row r="6" spans="1:4" x14ac:dyDescent="0.15">
      <c r="A6" s="12" t="s">
        <v>51</v>
      </c>
      <c r="B6" s="13">
        <v>205</v>
      </c>
      <c r="C6" s="14">
        <v>193</v>
      </c>
      <c r="D6">
        <f t="shared" si="0"/>
        <v>6.2</v>
      </c>
    </row>
    <row r="7" spans="1:4" x14ac:dyDescent="0.15">
      <c r="A7" s="9" t="s">
        <v>2</v>
      </c>
      <c r="B7" s="10">
        <v>222</v>
      </c>
      <c r="C7" s="11">
        <v>214</v>
      </c>
      <c r="D7">
        <f t="shared" si="0"/>
        <v>3.7</v>
      </c>
    </row>
    <row r="8" spans="1:4" x14ac:dyDescent="0.15">
      <c r="A8" s="9" t="s">
        <v>46</v>
      </c>
      <c r="B8" s="10">
        <v>1942</v>
      </c>
      <c r="C8" s="11">
        <v>1802</v>
      </c>
      <c r="D8">
        <f t="shared" si="0"/>
        <v>7.8</v>
      </c>
    </row>
    <row r="9" spans="1:4" x14ac:dyDescent="0.15">
      <c r="A9" s="12" t="s">
        <v>1</v>
      </c>
      <c r="B9" s="13">
        <v>63</v>
      </c>
      <c r="C9" s="14">
        <v>60</v>
      </c>
      <c r="D9">
        <f t="shared" si="0"/>
        <v>5</v>
      </c>
    </row>
    <row r="10" spans="1:4" x14ac:dyDescent="0.15">
      <c r="A10" s="9" t="s">
        <v>52</v>
      </c>
      <c r="B10" s="10">
        <v>81</v>
      </c>
      <c r="C10" s="11">
        <v>64</v>
      </c>
      <c r="D10">
        <f t="shared" si="0"/>
        <v>26.6</v>
      </c>
    </row>
    <row r="11" spans="1:4" x14ac:dyDescent="0.15">
      <c r="A11" s="12" t="s">
        <v>53</v>
      </c>
      <c r="B11" s="13">
        <v>1960</v>
      </c>
      <c r="C11" s="14">
        <v>1806</v>
      </c>
      <c r="D11">
        <f t="shared" si="0"/>
        <v>8.5</v>
      </c>
    </row>
    <row r="12" spans="1:4" x14ac:dyDescent="0.15">
      <c r="A12" s="9" t="s">
        <v>43</v>
      </c>
      <c r="B12" s="10">
        <v>255</v>
      </c>
      <c r="C12" s="11">
        <v>246</v>
      </c>
      <c r="D12">
        <f t="shared" si="0"/>
        <v>3.7</v>
      </c>
    </row>
    <row r="13" spans="1:4" x14ac:dyDescent="0.15">
      <c r="A13" s="15" t="s">
        <v>47</v>
      </c>
      <c r="B13" s="7">
        <v>1705</v>
      </c>
      <c r="C13" s="8">
        <v>1560</v>
      </c>
      <c r="D13">
        <f t="shared" si="0"/>
        <v>9.3000000000000007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25" x14ac:dyDescent="0.15"/>
  <cols>
    <col min="1" max="1" width="14" style="1" bestFit="1" customWidth="1"/>
    <col min="2" max="2" width="13.875" style="1" bestFit="1" customWidth="1"/>
    <col min="3" max="3" width="9.25" style="1" bestFit="1" customWidth="1"/>
    <col min="4" max="4" width="9.125" style="1" bestFit="1" customWidth="1"/>
    <col min="5" max="5" width="15" style="1" bestFit="1" customWidth="1"/>
    <col min="6" max="6" width="14.75" style="1" bestFit="1" customWidth="1"/>
    <col min="7" max="7" width="20.5" style="1" bestFit="1" customWidth="1"/>
    <col min="8" max="16384" width="9" style="1"/>
  </cols>
  <sheetData>
    <row r="1" spans="1:7" x14ac:dyDescent="0.15">
      <c r="A1" s="1" t="s">
        <v>19</v>
      </c>
      <c r="B1" s="1" t="s">
        <v>18</v>
      </c>
      <c r="C1" s="1" t="s">
        <v>41</v>
      </c>
      <c r="D1" s="1" t="s">
        <v>17</v>
      </c>
      <c r="E1" s="1" t="s">
        <v>16</v>
      </c>
      <c r="F1" s="1" t="s">
        <v>40</v>
      </c>
      <c r="G1" s="1" t="s">
        <v>15</v>
      </c>
    </row>
    <row r="2" spans="1:7" x14ac:dyDescent="0.15">
      <c r="A2" s="1" t="s">
        <v>14</v>
      </c>
      <c r="C2" s="1" t="s">
        <v>13</v>
      </c>
      <c r="E2" s="1" t="b">
        <v>1</v>
      </c>
      <c r="F2" s="1" t="b">
        <v>1</v>
      </c>
      <c r="G2" s="1">
        <v>250</v>
      </c>
    </row>
  </sheetData>
  <phoneticPr fontId="1"/>
  <dataValidations count="2">
    <dataValidation type="list" allowBlank="1" showInputMessage="1" showErrorMessage="1" sqref="B2" xr:uid="{00000000-0002-0000-0300-000000000000}">
      <formula1>"M,B"</formula1>
    </dataValidation>
    <dataValidation type="list" allowBlank="1" showInputMessage="1" showErrorMessage="1" sqref="B1" xr:uid="{00000000-0002-0000-0300-000001000000}">
      <formula1>"\,$"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0B0D47-7106-49A4-8C18-6FAE91C5C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Table006 (Page 6)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sadaco</dc:creator>
  <cp:lastModifiedBy>sadaco</cp:lastModifiedBy>
  <dcterms:created xsi:type="dcterms:W3CDTF">2023-07-20T01:07:19Z</dcterms:created>
  <dcterms:modified xsi:type="dcterms:W3CDTF">2024-08-16T04:15:06Z</dcterms:modified>
</cp:coreProperties>
</file>