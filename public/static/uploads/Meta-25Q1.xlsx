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codeName="ThisWorkbook" defaultThemeVersion="124226"/>
  <xr:revisionPtr revIDLastSave="0" documentId="13_ncr:1_{6E050A83-F54E-435A-A8D2-D3DB8810CBDB}" xr6:coauthVersionLast="47" xr6:coauthVersionMax="47" xr10:uidLastSave="{00000000-0000-0000-0000-000000000000}"/>
  <bookViews>
    <workbookView xWindow="930" yWindow="2340" windowWidth="23925" windowHeight="12015" tabRatio="846" xr2:uid="{00000000-000D-0000-FFFF-FFFF00000000}"/>
  </bookViews>
  <sheets>
    <sheet name="node" sheetId="1" r:id="rId1"/>
    <sheet name="edge" sheetId="2" r:id="rId2"/>
    <sheet name="option" sheetId="3" r:id="rId3"/>
    <sheet name="Table003 (Page 5) (2)" sheetId="14" r:id="rId4"/>
    <sheet name="Table005 (Page 6)" sheetId="12" r:id="rId5"/>
  </sheets>
  <definedNames>
    <definedName name="_xlnm._FilterDatabase" localSheetId="1" hidden="1">edge!$A$1:$B$6</definedName>
    <definedName name="_xlnm._FilterDatabase" localSheetId="0" hidden="1">node!$A$1:$J$4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4" l="1"/>
  <c r="D3" i="14"/>
  <c r="D4" i="14"/>
  <c r="D5" i="14"/>
  <c r="D6" i="14"/>
  <c r="D7" i="14"/>
  <c r="D8" i="14"/>
  <c r="D9" i="14"/>
  <c r="D10" i="14"/>
  <c r="D11" i="14"/>
  <c r="D12" i="14"/>
  <c r="D3" i="2" l="1"/>
  <c r="D4" i="2"/>
  <c r="D5" i="2"/>
  <c r="D6" i="2"/>
  <c r="D7" i="2"/>
  <c r="D8" i="2"/>
  <c r="D9" i="2"/>
  <c r="D10" i="2"/>
  <c r="D2" i="2"/>
  <c r="D11" i="1"/>
  <c r="H9" i="2"/>
  <c r="I9" i="2"/>
  <c r="H10" i="2"/>
  <c r="I10" i="2"/>
  <c r="D2" i="1"/>
  <c r="D3" i="1"/>
  <c r="D4" i="1"/>
  <c r="D5" i="1"/>
  <c r="D6" i="1"/>
  <c r="D7" i="1"/>
  <c r="D8" i="1"/>
  <c r="D9" i="1"/>
  <c r="D10" i="1"/>
  <c r="H3" i="2" l="1"/>
  <c r="I3" i="2"/>
  <c r="H4" i="2"/>
  <c r="I4" i="2"/>
  <c r="H5" i="2"/>
  <c r="I5" i="2"/>
  <c r="H6" i="2"/>
  <c r="I6" i="2"/>
  <c r="H7" i="2"/>
  <c r="I7" i="2"/>
  <c r="H8" i="2"/>
  <c r="I8" i="2"/>
  <c r="I2" i="2"/>
  <c r="H2" i="2"/>
</calcChain>
</file>

<file path=xl/sharedStrings.xml><?xml version="1.0" encoding="utf-8"?>
<sst xmlns="http://schemas.openxmlformats.org/spreadsheetml/2006/main" count="135" uniqueCount="63">
  <si>
    <t>memo</t>
  </si>
  <si>
    <t>source</t>
  </si>
  <si>
    <t>target</t>
  </si>
  <si>
    <t>value</t>
    <phoneticPr fontId="1"/>
  </si>
  <si>
    <t>Red</t>
    <phoneticPr fontId="1"/>
  </si>
  <si>
    <t>Green</t>
    <phoneticPr fontId="1"/>
  </si>
  <si>
    <t>none</t>
  </si>
  <si>
    <t>css.height</t>
    <phoneticPr fontId="1"/>
  </si>
  <si>
    <t>css.font-size</t>
    <phoneticPr fontId="1"/>
  </si>
  <si>
    <t>css.background-opacity</t>
    <phoneticPr fontId="1"/>
  </si>
  <si>
    <t>css.color</t>
    <phoneticPr fontId="1"/>
  </si>
  <si>
    <t>css.background-color</t>
    <phoneticPr fontId="1"/>
  </si>
  <si>
    <t>memo</t>
    <phoneticPr fontId="1"/>
  </si>
  <si>
    <t>css.shape</t>
    <phoneticPr fontId="1"/>
  </si>
  <si>
    <t>css.line-color</t>
    <phoneticPr fontId="1"/>
  </si>
  <si>
    <t>css.target-arrow-color</t>
    <phoneticPr fontId="1"/>
  </si>
  <si>
    <t>css.target-arrow-shape</t>
    <phoneticPr fontId="1"/>
  </si>
  <si>
    <t>none</t>
    <phoneticPr fontId="1"/>
  </si>
  <si>
    <t>css.line-opacity</t>
    <phoneticPr fontId="1"/>
  </si>
  <si>
    <t>css.text-opacity</t>
    <phoneticPr fontId="1"/>
  </si>
  <si>
    <t>css.line-style</t>
    <phoneticPr fontId="1"/>
  </si>
  <si>
    <t>css.width</t>
    <phoneticPr fontId="1"/>
  </si>
  <si>
    <t>node_unit</t>
    <phoneticPr fontId="1"/>
  </si>
  <si>
    <t>edge_unit</t>
    <phoneticPr fontId="1"/>
  </si>
  <si>
    <t>use_scale_width</t>
    <phoneticPr fontId="1"/>
  </si>
  <si>
    <t>use_label_merge</t>
    <phoneticPr fontId="1"/>
  </si>
  <si>
    <t>$</t>
    <phoneticPr fontId="1"/>
  </si>
  <si>
    <t>M</t>
    <phoneticPr fontId="1"/>
  </si>
  <si>
    <t>edge_currency</t>
    <phoneticPr fontId="1"/>
  </si>
  <si>
    <t>node_currency</t>
    <phoneticPr fontId="1"/>
  </si>
  <si>
    <t>image</t>
    <phoneticPr fontId="1"/>
  </si>
  <si>
    <t>label</t>
    <phoneticPr fontId="1"/>
  </si>
  <si>
    <t>_change</t>
    <phoneticPr fontId="1"/>
  </si>
  <si>
    <t>_emoji</t>
    <phoneticPr fontId="1"/>
  </si>
  <si>
    <t>Darkgreen</t>
    <phoneticPr fontId="1"/>
  </si>
  <si>
    <t>Research and development</t>
  </si>
  <si>
    <t>Provision for income taxes</t>
  </si>
  <si>
    <t>Column1</t>
  </si>
  <si>
    <t>Net income</t>
  </si>
  <si>
    <t>General and administrative</t>
  </si>
  <si>
    <t>Revenue</t>
  </si>
  <si>
    <t>Cost of revenue</t>
  </si>
  <si>
    <t>Marketing and sales</t>
  </si>
  <si>
    <t>Income from operations</t>
  </si>
  <si>
    <t>Interest and other income (expense), net</t>
  </si>
  <si>
    <t>Income before provision for income taxes</t>
  </si>
  <si>
    <t>列1</t>
  </si>
  <si>
    <t>tippy_offset_x</t>
    <phoneticPr fontId="1"/>
  </si>
  <si>
    <t>tippy_offset_y</t>
    <phoneticPr fontId="1"/>
  </si>
  <si>
    <t>use_directed</t>
    <phoneticPr fontId="1"/>
  </si>
  <si>
    <t>Ⓜ️</t>
    <phoneticPr fontId="1"/>
  </si>
  <si>
    <t>Meta-logo.png</t>
    <phoneticPr fontId="1"/>
  </si>
  <si>
    <t>Gray</t>
    <phoneticPr fontId="1"/>
  </si>
  <si>
    <t>🌤️</t>
  </si>
  <si>
    <t>💧</t>
  </si>
  <si>
    <t>2023</t>
  </si>
  <si>
    <t>2022</t>
  </si>
  <si>
    <t>Costs and expenses:</t>
  </si>
  <si>
    <t>25</t>
    <phoneticPr fontId="1"/>
  </si>
  <si>
    <t>24</t>
    <phoneticPr fontId="1"/>
  </si>
  <si>
    <t>-</t>
    <phoneticPr fontId="1"/>
  </si>
  <si>
    <t>Interest and other income, net</t>
    <phoneticPr fontId="1"/>
  </si>
  <si>
    <t>2025-Q1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</si>
</sst>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8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theme="1"/>
      <name val="Segoe UI Emoji"/>
      <family val="2"/>
    </font>
    <font>
      <sz val="12"/>
      <color theme="1"/>
      <name val="Segoe UI Symbol"/>
      <family val="2"/>
    </font>
    <font>
      <sz val="12"/>
      <color theme="1"/>
      <name val="ＭＳ Ｐゴシック"/>
      <family val="2"/>
      <scheme val="minor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9646"/>
        <bgColor indexed="64"/>
      </patternFill>
    </fill>
    <fill>
      <patternFill patternType="solid">
        <fgColor rgb="FFFDE9D9"/>
        <bgColor indexed="64"/>
      </patternFill>
    </fill>
  </fills>
  <borders count="7">
    <border>
      <left/>
      <right/>
      <top/>
      <bottom/>
      <diagonal/>
    </border>
    <border>
      <left style="medium">
        <color rgb="FFFABF8F"/>
      </left>
      <right style="medium">
        <color rgb="FFCCCCCC"/>
      </right>
      <top style="medium">
        <color rgb="FFFABF8F"/>
      </top>
      <bottom style="medium">
        <color rgb="FFFABF8F"/>
      </bottom>
      <diagonal/>
    </border>
    <border>
      <left style="medium">
        <color rgb="FFCCCCCC"/>
      </left>
      <right style="medium">
        <color rgb="FFCCCCCC"/>
      </right>
      <top style="medium">
        <color rgb="FFFABF8F"/>
      </top>
      <bottom style="medium">
        <color rgb="FFFABF8F"/>
      </bottom>
      <diagonal/>
    </border>
    <border>
      <left style="medium">
        <color rgb="FFCCCCCC"/>
      </left>
      <right style="medium">
        <color rgb="FFFABF8F"/>
      </right>
      <top style="medium">
        <color rgb="FFFABF8F"/>
      </top>
      <bottom style="medium">
        <color rgb="FFFABF8F"/>
      </bottom>
      <diagonal/>
    </border>
    <border>
      <left style="medium">
        <color rgb="FFFABF8F"/>
      </left>
      <right style="medium">
        <color rgb="FFCCCCCC"/>
      </right>
      <top style="medium">
        <color rgb="FFCCCCCC"/>
      </top>
      <bottom style="medium">
        <color rgb="FFFABF8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ABF8F"/>
      </bottom>
      <diagonal/>
    </border>
    <border>
      <left style="medium">
        <color rgb="FFCCCCCC"/>
      </left>
      <right style="medium">
        <color rgb="FFFABF8F"/>
      </right>
      <top style="medium">
        <color rgb="FFCCCCCC"/>
      </top>
      <bottom style="medium">
        <color rgb="FFFABF8F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3" fontId="0" fillId="0" borderId="0" xfId="0" applyNumberFormat="1"/>
    <xf numFmtId="0" fontId="3" fillId="0" borderId="0" xfId="0" applyFont="1"/>
    <xf numFmtId="0" fontId="2" fillId="0" borderId="0" xfId="0" applyFont="1"/>
    <xf numFmtId="176" fontId="0" fillId="0" borderId="0" xfId="1" applyNumberFormat="1" applyFont="1" applyAlignment="1"/>
    <xf numFmtId="0" fontId="6" fillId="2" borderId="1" xfId="0" applyFont="1" applyFill="1" applyBorder="1" applyAlignment="1">
      <alignment wrapText="1"/>
    </xf>
    <xf numFmtId="0" fontId="6" fillId="2" borderId="2" xfId="0" applyFont="1" applyFill="1" applyBorder="1" applyAlignment="1">
      <alignment horizontal="right" wrapText="1"/>
    </xf>
    <xf numFmtId="0" fontId="6" fillId="2" borderId="3" xfId="0" applyFont="1" applyFill="1" applyBorder="1" applyAlignment="1">
      <alignment wrapText="1"/>
    </xf>
    <xf numFmtId="0" fontId="5" fillId="3" borderId="4" xfId="0" applyFont="1" applyFill="1" applyBorder="1" applyAlignment="1">
      <alignment wrapText="1"/>
    </xf>
    <xf numFmtId="0" fontId="5" fillId="3" borderId="5" xfId="0" applyFont="1" applyFill="1" applyBorder="1" applyAlignment="1">
      <alignment horizontal="right" wrapText="1"/>
    </xf>
    <xf numFmtId="0" fontId="5" fillId="3" borderId="6" xfId="0" applyFont="1" applyFill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horizontal="right" wrapText="1"/>
    </xf>
    <xf numFmtId="0" fontId="5" fillId="0" borderId="6" xfId="0" applyFont="1" applyBorder="1" applyAlignment="1">
      <alignment horizontal="right" wrapText="1"/>
    </xf>
    <xf numFmtId="0" fontId="7" fillId="3" borderId="5" xfId="0" applyFont="1" applyFill="1" applyBorder="1" applyAlignment="1">
      <alignment horizontal="right" wrapText="1"/>
    </xf>
    <xf numFmtId="0" fontId="0" fillId="0" borderId="0" xfId="0" applyNumberFormat="1"/>
  </cellXfs>
  <cellStyles count="2">
    <cellStyle name="パーセント" xfId="1" builtinId="5"/>
    <cellStyle name="標準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0E9F5F-BF1C-48E7-917D-A8B90801948B}" name="Table003__Page_5" displayName="Table003__Page_5" ref="A1:D12" totalsRowShown="0">
  <autoFilter ref="A1:D12" xr:uid="{3F0E9F5F-BF1C-48E7-917D-A8B90801948B}"/>
  <tableColumns count="4">
    <tableColumn id="1" xr3:uid="{89157120-3CB1-4718-8BDB-C288170E73A8}" name="Column1" dataDxfId="1"/>
    <tableColumn id="2" xr3:uid="{6EC4420E-961D-4C4D-8A4A-FA43A9F22EE1}" name="25"/>
    <tableColumn id="3" xr3:uid="{69C783DA-CE00-4C80-A5EC-D02802B19261}" name="24"/>
    <tableColumn id="4" xr3:uid="{544DB445-1549-46B4-9A5F-92D49D177D10}" name="-" dataDxfId="0">
      <calculatedColumnFormula>ROUND((B2-C2)/C2*100,1)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5C85A3-46DE-447F-A1AB-72D6F5963B36}" name="Table005__Page_6" displayName="Table005__Page_6" ref="A1:D11" totalsRowShown="0">
  <autoFilter ref="A1:D11" xr:uid="{CD5C85A3-46DE-447F-A1AB-72D6F5963B36}"/>
  <tableColumns count="4">
    <tableColumn id="1" xr3:uid="{C9506089-0721-4523-B4B1-AF776E947959}" name="Column1"/>
    <tableColumn id="2" xr3:uid="{D2FE079A-0E9D-4232-83B5-B21CE5C792FC}" name="2023"/>
    <tableColumn id="3" xr3:uid="{AC544B21-FF43-456F-9346-A10F26582B90}" name="2022"/>
    <tableColumn id="4" xr3:uid="{15FFC020-7120-4961-86F4-8282F84FD728}" name="列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2"/>
  <sheetViews>
    <sheetView tabSelected="1" workbookViewId="0">
      <selection activeCell="A2" sqref="A2"/>
    </sheetView>
  </sheetViews>
  <sheetFormatPr defaultRowHeight="14.25" x14ac:dyDescent="0.15"/>
  <cols>
    <col min="1" max="1" width="39" bestFit="1" customWidth="1"/>
    <col min="2" max="2" width="9.875" bestFit="1" customWidth="1"/>
    <col min="3" max="3" width="6.5" bestFit="1" customWidth="1"/>
    <col min="4" max="4" width="18.375" bestFit="1" customWidth="1"/>
    <col min="5" max="5" width="13.75" bestFit="1" customWidth="1"/>
    <col min="6" max="6" width="9.5" bestFit="1" customWidth="1"/>
    <col min="7" max="7" width="8.75" bestFit="1" customWidth="1"/>
    <col min="8" max="8" width="20.25" bestFit="1" customWidth="1"/>
    <col min="9" max="9" width="22.5" bestFit="1" customWidth="1"/>
    <col min="10" max="10" width="12.375" bestFit="1" customWidth="1"/>
    <col min="12" max="12" width="9.625" bestFit="1" customWidth="1"/>
  </cols>
  <sheetData>
    <row r="1" spans="1:12" x14ac:dyDescent="0.15">
      <c r="A1" t="s">
        <v>31</v>
      </c>
      <c r="B1" t="s">
        <v>32</v>
      </c>
      <c r="C1" t="s">
        <v>33</v>
      </c>
      <c r="D1" t="s">
        <v>12</v>
      </c>
      <c r="E1" t="s">
        <v>30</v>
      </c>
      <c r="F1" t="s">
        <v>13</v>
      </c>
      <c r="G1" t="s">
        <v>10</v>
      </c>
      <c r="H1" t="s">
        <v>11</v>
      </c>
      <c r="I1" t="s">
        <v>9</v>
      </c>
      <c r="J1" t="s">
        <v>8</v>
      </c>
      <c r="K1" t="s">
        <v>21</v>
      </c>
      <c r="L1" t="s">
        <v>7</v>
      </c>
    </row>
    <row r="2" spans="1:12" ht="17.25" x14ac:dyDescent="0.3">
      <c r="A2" t="s">
        <v>40</v>
      </c>
      <c r="B2" s="4">
        <v>16.100000000000001</v>
      </c>
      <c r="C2" s="3" t="s">
        <v>53</v>
      </c>
      <c r="D2" t="str">
        <f t="shared" ref="D2:D11" si="0">B2&amp;"%"&amp;C2</f>
        <v>16.1%🌤️</v>
      </c>
      <c r="H2" t="s">
        <v>52</v>
      </c>
      <c r="I2">
        <v>0.9</v>
      </c>
      <c r="J2">
        <v>30</v>
      </c>
    </row>
    <row r="3" spans="1:12" ht="17.25" x14ac:dyDescent="0.3">
      <c r="A3" t="s">
        <v>41</v>
      </c>
      <c r="B3" s="4">
        <v>14</v>
      </c>
      <c r="C3" s="2" t="s">
        <v>54</v>
      </c>
      <c r="D3" t="str">
        <f t="shared" si="0"/>
        <v>14%💧</v>
      </c>
      <c r="H3" t="s">
        <v>4</v>
      </c>
      <c r="I3">
        <v>0.9</v>
      </c>
      <c r="J3">
        <v>30</v>
      </c>
    </row>
    <row r="4" spans="1:12" ht="17.25" x14ac:dyDescent="0.3">
      <c r="A4" t="s">
        <v>35</v>
      </c>
      <c r="B4" s="4">
        <v>21.8</v>
      </c>
      <c r="C4" s="2" t="s">
        <v>54</v>
      </c>
      <c r="D4" t="str">
        <f t="shared" si="0"/>
        <v>21.8%💧</v>
      </c>
      <c r="H4" t="s">
        <v>4</v>
      </c>
      <c r="I4">
        <v>0.9</v>
      </c>
      <c r="J4">
        <v>30</v>
      </c>
    </row>
    <row r="5" spans="1:12" ht="17.25" x14ac:dyDescent="0.3">
      <c r="A5" t="s">
        <v>42</v>
      </c>
      <c r="B5" s="4">
        <v>7.5</v>
      </c>
      <c r="C5" s="2" t="s">
        <v>54</v>
      </c>
      <c r="D5" t="str">
        <f t="shared" si="0"/>
        <v>7.5%💧</v>
      </c>
      <c r="H5" t="s">
        <v>4</v>
      </c>
      <c r="I5">
        <v>0.9</v>
      </c>
      <c r="J5">
        <v>30</v>
      </c>
    </row>
    <row r="6" spans="1:12" ht="17.25" x14ac:dyDescent="0.3">
      <c r="A6" t="s">
        <v>39</v>
      </c>
      <c r="B6" s="4">
        <v>-34</v>
      </c>
      <c r="C6" s="3" t="s">
        <v>53</v>
      </c>
      <c r="D6" t="str">
        <f t="shared" si="0"/>
        <v>-34%🌤️</v>
      </c>
      <c r="H6" t="s">
        <v>4</v>
      </c>
      <c r="I6">
        <v>0.9</v>
      </c>
      <c r="J6">
        <v>30</v>
      </c>
    </row>
    <row r="7" spans="1:12" ht="17.25" x14ac:dyDescent="0.3">
      <c r="A7" t="s">
        <v>43</v>
      </c>
      <c r="B7" s="4">
        <v>27</v>
      </c>
      <c r="C7" s="3" t="s">
        <v>53</v>
      </c>
      <c r="D7" t="str">
        <f t="shared" si="0"/>
        <v>27%🌤️</v>
      </c>
      <c r="H7" t="s">
        <v>5</v>
      </c>
      <c r="I7">
        <v>0.9</v>
      </c>
      <c r="J7">
        <v>30</v>
      </c>
    </row>
    <row r="8" spans="1:12" ht="17.25" x14ac:dyDescent="0.3">
      <c r="A8" t="s">
        <v>61</v>
      </c>
      <c r="B8" s="4">
        <v>126.6</v>
      </c>
      <c r="C8" s="3" t="s">
        <v>53</v>
      </c>
      <c r="D8" t="str">
        <f t="shared" si="0"/>
        <v>126.6%🌤️</v>
      </c>
      <c r="H8" t="s">
        <v>5</v>
      </c>
      <c r="I8">
        <v>0.9</v>
      </c>
      <c r="J8">
        <v>30</v>
      </c>
    </row>
    <row r="9" spans="1:12" ht="17.25" x14ac:dyDescent="0.3">
      <c r="A9" t="s">
        <v>45</v>
      </c>
      <c r="B9" s="4">
        <v>29.6</v>
      </c>
      <c r="C9" s="3" t="s">
        <v>53</v>
      </c>
      <c r="D9" t="str">
        <f t="shared" si="0"/>
        <v>29.6%🌤️</v>
      </c>
      <c r="H9" t="s">
        <v>5</v>
      </c>
      <c r="I9">
        <v>0.9</v>
      </c>
      <c r="J9">
        <v>30</v>
      </c>
    </row>
    <row r="10" spans="1:12" ht="17.25" x14ac:dyDescent="0.3">
      <c r="A10" t="s">
        <v>36</v>
      </c>
      <c r="B10" s="4">
        <v>-4.2</v>
      </c>
      <c r="C10" s="3" t="s">
        <v>53</v>
      </c>
      <c r="D10" t="str">
        <f t="shared" si="0"/>
        <v>-4.2%🌤️</v>
      </c>
      <c r="H10" t="s">
        <v>4</v>
      </c>
      <c r="I10">
        <v>0.9</v>
      </c>
      <c r="J10">
        <v>30</v>
      </c>
    </row>
    <row r="11" spans="1:12" ht="17.25" x14ac:dyDescent="0.3">
      <c r="A11" t="s">
        <v>38</v>
      </c>
      <c r="B11">
        <v>34.6</v>
      </c>
      <c r="C11" s="3" t="s">
        <v>53</v>
      </c>
      <c r="D11" t="str">
        <f t="shared" si="0"/>
        <v>34.6%🌤️</v>
      </c>
      <c r="H11" t="s">
        <v>5</v>
      </c>
      <c r="I11">
        <v>0.9</v>
      </c>
      <c r="J11">
        <v>30</v>
      </c>
    </row>
    <row r="12" spans="1:12" ht="17.25" x14ac:dyDescent="0.3">
      <c r="A12" s="3" t="s">
        <v>50</v>
      </c>
      <c r="D12" t="s">
        <v>62</v>
      </c>
      <c r="E12" t="s">
        <v>51</v>
      </c>
      <c r="J12">
        <v>0.1</v>
      </c>
    </row>
  </sheetData>
  <phoneticPr fontId="1"/>
  <pageMargins left="0.7" right="0.7" top="0.75" bottom="0.75" header="0.3" footer="0.3"/>
  <pageSetup paperSize="9" orientation="portrait" r:id="rId1"/>
  <ignoredErrors>
    <ignoredError sqref="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C7" sqref="C7:C10"/>
    </sheetView>
  </sheetViews>
  <sheetFormatPr defaultRowHeight="14.25" x14ac:dyDescent="0.15"/>
  <cols>
    <col min="1" max="1" width="38.5" bestFit="1" customWidth="1"/>
    <col min="2" max="2" width="39" bestFit="1" customWidth="1"/>
    <col min="3" max="3" width="7.875" customWidth="1"/>
    <col min="4" max="4" width="8.375" bestFit="1" customWidth="1"/>
    <col min="5" max="5" width="6.5" bestFit="1" customWidth="1"/>
    <col min="6" max="6" width="9" bestFit="1" customWidth="1"/>
    <col min="7" max="7" width="12.75" bestFit="1" customWidth="1"/>
    <col min="8" max="8" width="10" bestFit="1" customWidth="1"/>
    <col min="9" max="9" width="21.75" bestFit="1" customWidth="1"/>
    <col min="10" max="10" width="22.625" bestFit="1" customWidth="1"/>
    <col min="11" max="11" width="15" bestFit="1" customWidth="1"/>
    <col min="12" max="12" width="15.625" bestFit="1" customWidth="1"/>
    <col min="13" max="13" width="12.375" bestFit="1" customWidth="1"/>
    <col min="14" max="14" width="12.625" bestFit="1" customWidth="1"/>
  </cols>
  <sheetData>
    <row r="1" spans="1:14" x14ac:dyDescent="0.15">
      <c r="A1" t="s">
        <v>1</v>
      </c>
      <c r="B1" t="s">
        <v>2</v>
      </c>
      <c r="C1" t="s">
        <v>3</v>
      </c>
      <c r="D1" t="s">
        <v>31</v>
      </c>
      <c r="E1" t="s">
        <v>0</v>
      </c>
      <c r="F1" t="s">
        <v>21</v>
      </c>
      <c r="G1" t="s">
        <v>14</v>
      </c>
      <c r="H1" t="s">
        <v>10</v>
      </c>
      <c r="I1" t="s">
        <v>15</v>
      </c>
      <c r="J1" t="s">
        <v>16</v>
      </c>
      <c r="K1" t="s">
        <v>18</v>
      </c>
      <c r="L1" t="s">
        <v>19</v>
      </c>
      <c r="M1" t="s">
        <v>8</v>
      </c>
      <c r="N1" t="s">
        <v>20</v>
      </c>
    </row>
    <row r="2" spans="1:14" x14ac:dyDescent="0.15">
      <c r="A2" t="s">
        <v>40</v>
      </c>
      <c r="B2" t="s">
        <v>41</v>
      </c>
      <c r="C2" s="1">
        <v>7572</v>
      </c>
      <c r="D2" s="1">
        <f>C2</f>
        <v>7572</v>
      </c>
      <c r="G2" t="s">
        <v>4</v>
      </c>
      <c r="H2" t="str">
        <f>G2</f>
        <v>Red</v>
      </c>
      <c r="I2" t="str">
        <f>G2</f>
        <v>Red</v>
      </c>
      <c r="J2" t="s">
        <v>17</v>
      </c>
      <c r="K2">
        <v>0.2</v>
      </c>
      <c r="L2">
        <v>1</v>
      </c>
      <c r="M2">
        <v>32</v>
      </c>
    </row>
    <row r="3" spans="1:14" x14ac:dyDescent="0.15">
      <c r="A3" t="s">
        <v>40</v>
      </c>
      <c r="B3" t="s">
        <v>35</v>
      </c>
      <c r="C3" s="1">
        <v>12150</v>
      </c>
      <c r="D3" s="1">
        <f t="shared" ref="D3:D10" si="0">C3</f>
        <v>12150</v>
      </c>
      <c r="G3" t="s">
        <v>4</v>
      </c>
      <c r="H3" t="str">
        <f t="shared" ref="H3:H10" si="1">G3</f>
        <v>Red</v>
      </c>
      <c r="I3" t="str">
        <f t="shared" ref="I3:I10" si="2">G3</f>
        <v>Red</v>
      </c>
      <c r="J3" t="s">
        <v>6</v>
      </c>
      <c r="K3">
        <v>0.2</v>
      </c>
      <c r="L3">
        <v>1</v>
      </c>
      <c r="M3">
        <v>32</v>
      </c>
    </row>
    <row r="4" spans="1:14" x14ac:dyDescent="0.15">
      <c r="A4" t="s">
        <v>40</v>
      </c>
      <c r="B4" t="s">
        <v>42</v>
      </c>
      <c r="C4" s="1">
        <v>2757</v>
      </c>
      <c r="D4" s="1">
        <f t="shared" si="0"/>
        <v>2757</v>
      </c>
      <c r="G4" t="s">
        <v>4</v>
      </c>
      <c r="H4" t="str">
        <f t="shared" si="1"/>
        <v>Red</v>
      </c>
      <c r="I4" t="str">
        <f t="shared" si="2"/>
        <v>Red</v>
      </c>
      <c r="J4" t="s">
        <v>6</v>
      </c>
      <c r="K4">
        <v>0.2</v>
      </c>
      <c r="L4">
        <v>1</v>
      </c>
      <c r="M4">
        <v>32</v>
      </c>
    </row>
    <row r="5" spans="1:14" x14ac:dyDescent="0.15">
      <c r="A5" t="s">
        <v>40</v>
      </c>
      <c r="B5" t="s">
        <v>39</v>
      </c>
      <c r="C5" s="1">
        <v>2280</v>
      </c>
      <c r="D5" s="1">
        <f t="shared" si="0"/>
        <v>2280</v>
      </c>
      <c r="G5" t="s">
        <v>4</v>
      </c>
      <c r="H5" t="str">
        <f t="shared" si="1"/>
        <v>Red</v>
      </c>
      <c r="I5" t="str">
        <f t="shared" si="2"/>
        <v>Red</v>
      </c>
      <c r="J5" t="s">
        <v>6</v>
      </c>
      <c r="K5">
        <v>0.2</v>
      </c>
      <c r="L5">
        <v>1</v>
      </c>
      <c r="M5">
        <v>32</v>
      </c>
    </row>
    <row r="6" spans="1:14" x14ac:dyDescent="0.15">
      <c r="A6" t="s">
        <v>40</v>
      </c>
      <c r="B6" t="s">
        <v>43</v>
      </c>
      <c r="C6" s="1">
        <v>17555</v>
      </c>
      <c r="D6" s="1">
        <f t="shared" si="0"/>
        <v>17555</v>
      </c>
      <c r="G6" t="s">
        <v>5</v>
      </c>
      <c r="H6" t="str">
        <f t="shared" si="1"/>
        <v>Green</v>
      </c>
      <c r="I6" t="str">
        <f t="shared" si="2"/>
        <v>Green</v>
      </c>
      <c r="J6" t="s">
        <v>6</v>
      </c>
      <c r="K6">
        <v>0.2</v>
      </c>
      <c r="L6">
        <v>1</v>
      </c>
      <c r="M6">
        <v>32</v>
      </c>
    </row>
    <row r="7" spans="1:14" x14ac:dyDescent="0.15">
      <c r="A7" t="s">
        <v>61</v>
      </c>
      <c r="B7" t="s">
        <v>43</v>
      </c>
      <c r="C7" s="1">
        <v>827</v>
      </c>
      <c r="D7" s="1">
        <f t="shared" si="0"/>
        <v>827</v>
      </c>
      <c r="G7" t="s">
        <v>5</v>
      </c>
      <c r="H7" t="str">
        <f t="shared" si="1"/>
        <v>Green</v>
      </c>
      <c r="I7" t="str">
        <f t="shared" si="2"/>
        <v>Green</v>
      </c>
      <c r="J7" t="s">
        <v>6</v>
      </c>
      <c r="K7">
        <v>0.2</v>
      </c>
      <c r="L7">
        <v>1</v>
      </c>
      <c r="M7">
        <v>32</v>
      </c>
    </row>
    <row r="8" spans="1:14" x14ac:dyDescent="0.15">
      <c r="A8" t="s">
        <v>43</v>
      </c>
      <c r="B8" t="s">
        <v>45</v>
      </c>
      <c r="C8" s="1">
        <v>18382</v>
      </c>
      <c r="D8" s="1">
        <f t="shared" si="0"/>
        <v>18382</v>
      </c>
      <c r="G8" t="s">
        <v>5</v>
      </c>
      <c r="H8" t="str">
        <f t="shared" si="1"/>
        <v>Green</v>
      </c>
      <c r="I8" t="str">
        <f t="shared" si="2"/>
        <v>Green</v>
      </c>
      <c r="J8" t="s">
        <v>6</v>
      </c>
      <c r="K8">
        <v>0.2</v>
      </c>
      <c r="L8">
        <v>1</v>
      </c>
      <c r="M8">
        <v>32</v>
      </c>
    </row>
    <row r="9" spans="1:14" x14ac:dyDescent="0.15">
      <c r="A9" t="s">
        <v>45</v>
      </c>
      <c r="B9" t="s">
        <v>36</v>
      </c>
      <c r="C9" s="1">
        <v>1738</v>
      </c>
      <c r="D9" s="1">
        <f t="shared" si="0"/>
        <v>1738</v>
      </c>
      <c r="G9" t="s">
        <v>4</v>
      </c>
      <c r="H9" t="str">
        <f t="shared" si="1"/>
        <v>Red</v>
      </c>
      <c r="I9" t="str">
        <f t="shared" si="2"/>
        <v>Red</v>
      </c>
      <c r="J9" t="s">
        <v>6</v>
      </c>
      <c r="K9">
        <v>0.2</v>
      </c>
      <c r="L9">
        <v>1</v>
      </c>
      <c r="M9">
        <v>32</v>
      </c>
    </row>
    <row r="10" spans="1:14" x14ac:dyDescent="0.15">
      <c r="A10" t="s">
        <v>45</v>
      </c>
      <c r="B10" t="s">
        <v>38</v>
      </c>
      <c r="C10" s="1">
        <v>16644</v>
      </c>
      <c r="D10" s="1">
        <f t="shared" si="0"/>
        <v>16644</v>
      </c>
      <c r="G10" t="s">
        <v>34</v>
      </c>
      <c r="H10" t="str">
        <f t="shared" si="1"/>
        <v>Darkgreen</v>
      </c>
      <c r="I10" t="str">
        <f t="shared" si="2"/>
        <v>Darkgreen</v>
      </c>
      <c r="J10" t="s">
        <v>6</v>
      </c>
      <c r="K10">
        <v>0.2</v>
      </c>
      <c r="L10">
        <v>1</v>
      </c>
      <c r="M10">
        <v>32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"/>
  <sheetViews>
    <sheetView workbookViewId="0"/>
  </sheetViews>
  <sheetFormatPr defaultRowHeight="14.25" x14ac:dyDescent="0.15"/>
  <cols>
    <col min="1" max="1" width="14" bestFit="1" customWidth="1"/>
    <col min="2" max="2" width="13.875" bestFit="1" customWidth="1"/>
    <col min="3" max="3" width="9.25" bestFit="1" customWidth="1"/>
    <col min="4" max="4" width="9.125" bestFit="1" customWidth="1"/>
    <col min="5" max="5" width="15" bestFit="1" customWidth="1"/>
    <col min="6" max="6" width="14.75" bestFit="1" customWidth="1"/>
    <col min="7" max="7" width="12.125" bestFit="1" customWidth="1"/>
    <col min="8" max="8" width="12.875" bestFit="1" customWidth="1"/>
    <col min="9" max="9" width="13" bestFit="1" customWidth="1"/>
  </cols>
  <sheetData>
    <row r="1" spans="1:9" x14ac:dyDescent="0.15">
      <c r="A1" t="s">
        <v>29</v>
      </c>
      <c r="B1" t="s">
        <v>28</v>
      </c>
      <c r="C1" t="s">
        <v>22</v>
      </c>
      <c r="D1" t="s">
        <v>23</v>
      </c>
      <c r="E1" t="s">
        <v>25</v>
      </c>
      <c r="F1" t="s">
        <v>24</v>
      </c>
      <c r="G1" t="s">
        <v>49</v>
      </c>
      <c r="H1" t="s">
        <v>47</v>
      </c>
      <c r="I1" t="s">
        <v>48</v>
      </c>
    </row>
    <row r="2" spans="1:9" x14ac:dyDescent="0.15">
      <c r="A2" t="s">
        <v>26</v>
      </c>
      <c r="C2" t="s">
        <v>27</v>
      </c>
      <c r="E2" t="b">
        <v>1</v>
      </c>
      <c r="F2" t="b">
        <v>1</v>
      </c>
      <c r="G2" t="b">
        <v>1</v>
      </c>
      <c r="H2">
        <v>0</v>
      </c>
      <c r="I2">
        <v>15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D6E5-4FDD-4DB1-8A83-EB899A3F70CA}">
  <dimension ref="A1:D12"/>
  <sheetViews>
    <sheetView workbookViewId="0">
      <selection activeCell="D4" sqref="D4:D12"/>
    </sheetView>
  </sheetViews>
  <sheetFormatPr defaultRowHeight="14.25" x14ac:dyDescent="0.15"/>
  <cols>
    <col min="1" max="1" width="39" bestFit="1" customWidth="1"/>
    <col min="2" max="3" width="11.875" bestFit="1" customWidth="1"/>
  </cols>
  <sheetData>
    <row r="1" spans="1:4" x14ac:dyDescent="0.15">
      <c r="A1" t="s">
        <v>37</v>
      </c>
      <c r="B1" t="s">
        <v>58</v>
      </c>
      <c r="C1" t="s">
        <v>59</v>
      </c>
      <c r="D1" t="s">
        <v>60</v>
      </c>
    </row>
    <row r="2" spans="1:4" x14ac:dyDescent="0.15">
      <c r="A2" s="15" t="s">
        <v>40</v>
      </c>
      <c r="B2">
        <v>42314</v>
      </c>
      <c r="C2">
        <v>36455</v>
      </c>
      <c r="D2">
        <f t="shared" ref="D2:D12" si="0">ROUND((B2-C2)/C2*100,1)</f>
        <v>16.100000000000001</v>
      </c>
    </row>
    <row r="3" spans="1:4" x14ac:dyDescent="0.15">
      <c r="A3" s="15" t="s">
        <v>57</v>
      </c>
      <c r="D3" t="e">
        <f t="shared" si="0"/>
        <v>#DIV/0!</v>
      </c>
    </row>
    <row r="4" spans="1:4" x14ac:dyDescent="0.15">
      <c r="A4" s="15" t="s">
        <v>41</v>
      </c>
      <c r="B4">
        <v>7572</v>
      </c>
      <c r="C4">
        <v>6640</v>
      </c>
      <c r="D4">
        <f t="shared" si="0"/>
        <v>14</v>
      </c>
    </row>
    <row r="5" spans="1:4" x14ac:dyDescent="0.15">
      <c r="A5" s="15" t="s">
        <v>35</v>
      </c>
      <c r="B5">
        <v>12150</v>
      </c>
      <c r="C5">
        <v>9978</v>
      </c>
      <c r="D5">
        <f t="shared" si="0"/>
        <v>21.8</v>
      </c>
    </row>
    <row r="6" spans="1:4" x14ac:dyDescent="0.15">
      <c r="A6" s="15" t="s">
        <v>42</v>
      </c>
      <c r="B6">
        <v>2757</v>
      </c>
      <c r="C6">
        <v>2564</v>
      </c>
      <c r="D6">
        <f t="shared" si="0"/>
        <v>7.5</v>
      </c>
    </row>
    <row r="7" spans="1:4" x14ac:dyDescent="0.15">
      <c r="A7" s="15" t="s">
        <v>39</v>
      </c>
      <c r="B7">
        <v>2280</v>
      </c>
      <c r="C7">
        <v>3455</v>
      </c>
      <c r="D7">
        <f t="shared" si="0"/>
        <v>-34</v>
      </c>
    </row>
    <row r="8" spans="1:4" x14ac:dyDescent="0.15">
      <c r="A8" s="15" t="s">
        <v>43</v>
      </c>
      <c r="B8">
        <v>17555</v>
      </c>
      <c r="C8">
        <v>13818</v>
      </c>
      <c r="D8">
        <f t="shared" si="0"/>
        <v>27</v>
      </c>
    </row>
    <row r="9" spans="1:4" x14ac:dyDescent="0.15">
      <c r="A9" s="15" t="s">
        <v>61</v>
      </c>
      <c r="B9">
        <v>827</v>
      </c>
      <c r="C9">
        <v>365</v>
      </c>
      <c r="D9">
        <f t="shared" si="0"/>
        <v>126.6</v>
      </c>
    </row>
    <row r="10" spans="1:4" x14ac:dyDescent="0.15">
      <c r="A10" s="15" t="s">
        <v>45</v>
      </c>
      <c r="B10">
        <v>18382</v>
      </c>
      <c r="C10">
        <v>14183</v>
      </c>
      <c r="D10">
        <f t="shared" si="0"/>
        <v>29.6</v>
      </c>
    </row>
    <row r="11" spans="1:4" x14ac:dyDescent="0.15">
      <c r="A11" s="15" t="s">
        <v>36</v>
      </c>
      <c r="B11">
        <v>1738</v>
      </c>
      <c r="C11">
        <v>1814</v>
      </c>
      <c r="D11">
        <f t="shared" si="0"/>
        <v>-4.2</v>
      </c>
    </row>
    <row r="12" spans="1:4" x14ac:dyDescent="0.15">
      <c r="A12" s="15" t="s">
        <v>38</v>
      </c>
      <c r="B12">
        <v>16644</v>
      </c>
      <c r="C12">
        <v>12369</v>
      </c>
      <c r="D12">
        <f t="shared" si="0"/>
        <v>34.6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8C7A4-374C-463C-B3E6-F09F0FC1E024}">
  <dimension ref="A1:D11"/>
  <sheetViews>
    <sheetView workbookViewId="0">
      <selection activeCell="C2" sqref="C2"/>
    </sheetView>
  </sheetViews>
  <sheetFormatPr defaultRowHeight="14.25" x14ac:dyDescent="0.15"/>
  <cols>
    <col min="1" max="1" width="39" bestFit="1" customWidth="1"/>
    <col min="2" max="3" width="11.875" bestFit="1" customWidth="1"/>
  </cols>
  <sheetData>
    <row r="1" spans="1:4" ht="16.5" thickBot="1" x14ac:dyDescent="0.3">
      <c r="A1" s="5" t="s">
        <v>37</v>
      </c>
      <c r="B1" s="6" t="s">
        <v>55</v>
      </c>
      <c r="C1" s="6" t="s">
        <v>56</v>
      </c>
      <c r="D1" s="7" t="s">
        <v>46</v>
      </c>
    </row>
    <row r="2" spans="1:4" ht="15.75" thickBot="1" x14ac:dyDescent="0.25">
      <c r="A2" s="8" t="s">
        <v>40</v>
      </c>
      <c r="B2" s="9">
        <v>34146</v>
      </c>
      <c r="C2" s="9">
        <v>27714</v>
      </c>
      <c r="D2" s="10">
        <v>23</v>
      </c>
    </row>
    <row r="3" spans="1:4" ht="15.75" thickBot="1" x14ac:dyDescent="0.25">
      <c r="A3" s="11" t="s">
        <v>41</v>
      </c>
      <c r="B3" s="12">
        <v>6210</v>
      </c>
      <c r="C3" s="12">
        <v>5716</v>
      </c>
      <c r="D3" s="13">
        <v>9</v>
      </c>
    </row>
    <row r="4" spans="1:4" ht="15.75" thickBot="1" x14ac:dyDescent="0.25">
      <c r="A4" s="8" t="s">
        <v>35</v>
      </c>
      <c r="B4" s="9">
        <v>9241</v>
      </c>
      <c r="C4" s="9">
        <v>9170</v>
      </c>
      <c r="D4" s="10">
        <v>1</v>
      </c>
    </row>
    <row r="5" spans="1:4" ht="15.75" thickBot="1" x14ac:dyDescent="0.25">
      <c r="A5" s="11" t="s">
        <v>42</v>
      </c>
      <c r="B5" s="12">
        <v>2877</v>
      </c>
      <c r="C5" s="12">
        <v>3780</v>
      </c>
      <c r="D5" s="13">
        <v>-24</v>
      </c>
    </row>
    <row r="6" spans="1:4" ht="15.75" thickBot="1" x14ac:dyDescent="0.25">
      <c r="A6" s="8" t="s">
        <v>39</v>
      </c>
      <c r="B6" s="9">
        <v>2070</v>
      </c>
      <c r="C6" s="9">
        <v>3384</v>
      </c>
      <c r="D6" s="10">
        <v>-39</v>
      </c>
    </row>
    <row r="7" spans="1:4" ht="15.75" thickBot="1" x14ac:dyDescent="0.25">
      <c r="A7" s="11" t="s">
        <v>43</v>
      </c>
      <c r="B7" s="12">
        <v>13748</v>
      </c>
      <c r="C7" s="12">
        <v>5664</v>
      </c>
      <c r="D7" s="13">
        <v>143</v>
      </c>
    </row>
    <row r="8" spans="1:4" ht="15.75" thickBot="1" x14ac:dyDescent="0.25">
      <c r="A8" s="8" t="s">
        <v>44</v>
      </c>
      <c r="B8" s="9">
        <v>272</v>
      </c>
      <c r="C8" s="14">
        <v>-88</v>
      </c>
      <c r="D8" s="10">
        <v>-409</v>
      </c>
    </row>
    <row r="9" spans="1:4" ht="15.75" thickBot="1" x14ac:dyDescent="0.25">
      <c r="A9" s="11" t="s">
        <v>45</v>
      </c>
      <c r="B9" s="12">
        <v>14020</v>
      </c>
      <c r="C9" s="12">
        <v>5576</v>
      </c>
      <c r="D9" s="13">
        <v>151</v>
      </c>
    </row>
    <row r="10" spans="1:4" ht="15.75" thickBot="1" x14ac:dyDescent="0.25">
      <c r="A10" s="8" t="s">
        <v>36</v>
      </c>
      <c r="B10" s="9">
        <v>2437</v>
      </c>
      <c r="C10" s="9">
        <v>1181</v>
      </c>
      <c r="D10" s="10">
        <v>106</v>
      </c>
    </row>
    <row r="11" spans="1:4" ht="15.75" thickBot="1" x14ac:dyDescent="0.25">
      <c r="A11" s="11" t="s">
        <v>38</v>
      </c>
      <c r="B11" s="12">
        <v>11583</v>
      </c>
      <c r="C11" s="12">
        <v>4395</v>
      </c>
      <c r="D11" s="13">
        <v>164</v>
      </c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782FBA7EA2E994B9F7097B62E4A85E1" ma:contentTypeVersion="" ma:contentTypeDescription="新しいドキュメントを作成します。" ma:contentTypeScope="" ma:versionID="fab937c8be173dcb9661cf34cfec0cff">
  <xsd:schema xmlns:xsd="http://www.w3.org/2001/XMLSchema" xmlns:xs="http://www.w3.org/2001/XMLSchema" xmlns:p="http://schemas.microsoft.com/office/2006/metadata/properties" xmlns:ns2="d1704697-0a90-4c71-a4aa-af07d1d3fdc9" xmlns:ns3="d9dc673b-9e34-4001-b69a-8484e8c1b815" xmlns:ns4="e77deb97-a418-4714-85c7-85516ffd9823" targetNamespace="http://schemas.microsoft.com/office/2006/metadata/properties" ma:root="true" ma:fieldsID="ee975be754954f23b5832ff12ae38e26" ns2:_="" ns3:_="" ns4:_="">
    <xsd:import namespace="d1704697-0a90-4c71-a4aa-af07d1d3fdc9"/>
    <xsd:import namespace="d9dc673b-9e34-4001-b69a-8484e8c1b815"/>
    <xsd:import namespace="e77deb97-a418-4714-85c7-85516ffd98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704697-0a90-4c71-a4aa-af07d1d3f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401df557-eeb5-435c-8d7c-77a7fa12a9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c673b-9e34-4001-b69a-8484e8c1b81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6D7F976-0A6A-4B1A-ADA7-7D29164B49AB}" ma:internalName="TaxCatchAll" ma:showField="CatchAllData" ma:web="{e77deb97-a418-4714-85c7-85516ffd982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7deb97-a418-4714-85c7-85516ffd982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704697-0a90-4c71-a4aa-af07d1d3fdc9">
      <Terms xmlns="http://schemas.microsoft.com/office/infopath/2007/PartnerControls"/>
    </lcf76f155ced4ddcb4097134ff3c332f>
    <TaxCatchAll xmlns="d9dc673b-9e34-4001-b69a-8484e8c1b81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4BBCB2E9-D392-4B94-A907-2D2252F258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704697-0a90-4c71-a4aa-af07d1d3fdc9"/>
    <ds:schemaRef ds:uri="d9dc673b-9e34-4001-b69a-8484e8c1b815"/>
    <ds:schemaRef ds:uri="e77deb97-a418-4714-85c7-85516ffd98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CF7D2F-2A27-4C3C-9922-3528D881A5EA}">
  <ds:schemaRefs>
    <ds:schemaRef ds:uri="http://schemas.microsoft.com/office/2006/documentManagement/types"/>
    <ds:schemaRef ds:uri="e77deb97-a418-4714-85c7-85516ffd9823"/>
    <ds:schemaRef ds:uri="http://schemas.microsoft.com/office/2006/metadata/properties"/>
    <ds:schemaRef ds:uri="d9dc673b-9e34-4001-b69a-8484e8c1b815"/>
    <ds:schemaRef ds:uri="http://purl.org/dc/terms/"/>
    <ds:schemaRef ds:uri="http://purl.org/dc/elements/1.1/"/>
    <ds:schemaRef ds:uri="d1704697-0a90-4c71-a4aa-af07d1d3fdc9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370E365-A5ED-4F2B-B92E-871A4954FFC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9846024-0BEF-4FF2-A886-FC34D7F5E4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node</vt:lpstr>
      <vt:lpstr>edge</vt:lpstr>
      <vt:lpstr>option</vt:lpstr>
      <vt:lpstr>Table003 (Page 5) (2)</vt:lpstr>
      <vt:lpstr>Table005 (Page 6)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2025-04-30T21:22:47Z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0x010100E782FBA7EA2E994B9F7097B62E4A85E1</vt:lpwstr>
  </property>
  <property fmtid="{D5CDD505-2E9C-101B-9397-08002B2CF9AE}" pid="3" name="MediaServiceImageTags">
    <vt:lpwstr/>
  </property>
</Properties>
</file>