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24226"/>
  <xr:revisionPtr revIDLastSave="0" documentId="13_ncr:1_{F86F3AEA-8E52-400B-8574-7514A0915425}" xr6:coauthVersionLast="47" xr6:coauthVersionMax="47" xr10:uidLastSave="{00000000-0000-0000-0000-000000000000}"/>
  <bookViews>
    <workbookView xWindow="3240" yWindow="3195" windowWidth="23925" windowHeight="12015" tabRatio="587" xr2:uid="{00000000-000D-0000-FFFF-FFFF00000000}"/>
  </bookViews>
  <sheets>
    <sheet name="node" sheetId="1" r:id="rId1"/>
    <sheet name="edge" sheetId="2" r:id="rId2"/>
    <sheet name="Table002 (Page 1)" sheetId="14" r:id="rId3"/>
    <sheet name="Table003 (Page 5)" sheetId="13" r:id="rId4"/>
    <sheet name="option" sheetId="3" r:id="rId5"/>
  </sheets>
  <definedNames>
    <definedName name="_xlnm._FilterDatabase" localSheetId="1" hidden="1">edge!$A$1:$B$6</definedName>
    <definedName name="_xlnm._FilterDatabase" localSheetId="0" hidden="1">node!$A$1:$J$4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4" l="1"/>
  <c r="F7" i="14" s="1"/>
  <c r="D10" i="1"/>
  <c r="H9" i="2"/>
  <c r="I9" i="2"/>
  <c r="D9" i="2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8" i="1" l="1"/>
  <c r="H7" i="2"/>
  <c r="I7" i="2"/>
  <c r="D7" i="2"/>
  <c r="H13" i="2"/>
  <c r="I13" i="2"/>
  <c r="H14" i="2"/>
  <c r="I14" i="2"/>
  <c r="H15" i="2"/>
  <c r="I15" i="2"/>
  <c r="H16" i="2"/>
  <c r="I16" i="2"/>
  <c r="D13" i="2"/>
  <c r="D14" i="2"/>
  <c r="D15" i="2"/>
  <c r="D16" i="2"/>
  <c r="D3" i="1"/>
  <c r="D4" i="1"/>
  <c r="D5" i="1"/>
  <c r="D6" i="1"/>
  <c r="D7" i="1"/>
  <c r="D9" i="1"/>
  <c r="D11" i="1"/>
  <c r="D12" i="1"/>
  <c r="D13" i="1"/>
  <c r="D14" i="1"/>
  <c r="D15" i="1"/>
  <c r="D16" i="1"/>
  <c r="D17" i="1"/>
  <c r="D3" i="2" l="1"/>
  <c r="D4" i="2"/>
  <c r="D5" i="2"/>
  <c r="D6" i="2"/>
  <c r="D8" i="2"/>
  <c r="D10" i="2"/>
  <c r="D11" i="2"/>
  <c r="D12" i="2"/>
  <c r="D2" i="2"/>
  <c r="H11" i="2"/>
  <c r="I11" i="2"/>
  <c r="H12" i="2"/>
  <c r="I12" i="2"/>
  <c r="D2" i="1"/>
  <c r="H3" i="2" l="1"/>
  <c r="I3" i="2"/>
  <c r="H4" i="2"/>
  <c r="I4" i="2"/>
  <c r="H5" i="2"/>
  <c r="I5" i="2"/>
  <c r="H6" i="2"/>
  <c r="I6" i="2"/>
  <c r="H8" i="2"/>
  <c r="I8" i="2"/>
  <c r="H10" i="2"/>
  <c r="I10" i="2"/>
  <c r="I2" i="2"/>
  <c r="H2" i="2"/>
</calcChain>
</file>

<file path=xl/sharedStrings.xml><?xml version="1.0" encoding="utf-8"?>
<sst xmlns="http://schemas.openxmlformats.org/spreadsheetml/2006/main" count="180" uniqueCount="70">
  <si>
    <t>memo</t>
  </si>
  <si>
    <t>source</t>
  </si>
  <si>
    <t>target</t>
  </si>
  <si>
    <t>value</t>
    <phoneticPr fontId="1"/>
  </si>
  <si>
    <t>none</t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</si>
  <si>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</si>
  <si>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</si>
  <si>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</si>
  <si>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</si>
  <si>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</si>
  <si>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</si>
  <si>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</si>
  <si>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</si>
  <si>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</si>
  <si>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</si>
  <si>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none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</si>
  <si>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</si>
  <si>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</si>
  <si>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</si>
  <si>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</si>
  <si>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</si>
  <si>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</si>
  <si>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</si>
  <si>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use_label_merge</t>
    <phoneticPr fontId="1"/>
  </si>
  <si>
    <t>$</t>
    <phoneticPr fontId="1"/>
  </si>
  <si>
    <t>M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</si>
  <si>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</si>
  <si>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</si>
  <si>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</si>
  <si>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</si>
  <si>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</si>
  <si>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</si>
  <si>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Research and development</t>
  </si>
  <si>
    <t>Column1</t>
  </si>
  <si>
    <t>tippy_offset_x</t>
    <phoneticPr fontId="1"/>
  </si>
  <si>
    <t>tippy_offset_y</t>
    <phoneticPr fontId="1"/>
  </si>
  <si>
    <t>use_directed</t>
    <phoneticPr fontId="1"/>
  </si>
  <si>
    <t>🌤️</t>
  </si>
  <si>
    <t>💧</t>
  </si>
  <si>
    <t>Net revenue</t>
  </si>
  <si>
    <t>Cost of sales</t>
  </si>
  <si>
    <t>Amortization of acquisition-related intangibles</t>
  </si>
  <si>
    <t>Gross profit</t>
  </si>
  <si>
    <t>Marketing, general and administrative</t>
  </si>
  <si>
    <t>Licensing gain</t>
  </si>
  <si>
    <t>Operating income (loss)</t>
  </si>
  <si>
    <t>Interest expense</t>
  </si>
  <si>
    <t>Other income (expense), net</t>
  </si>
  <si>
    <t>Income (loss) before income taxes and equity income</t>
  </si>
  <si>
    <t>Income tax provision (benefit)</t>
  </si>
  <si>
    <t>Equity income in investee</t>
  </si>
  <si>
    <t>Net income (loss)</t>
  </si>
  <si>
    <t>Gray</t>
  </si>
  <si>
    <t>Red</t>
  </si>
  <si>
    <t>Green</t>
  </si>
  <si>
    <t>Darkgreen</t>
  </si>
  <si>
    <t>Amortization of acquisition-related intangibles2</t>
    <phoneticPr fontId="1"/>
  </si>
  <si>
    <t>Restructuring charges</t>
  </si>
  <si>
    <t>Operating income</t>
  </si>
  <si>
    <t>Income before income taxes and equity income</t>
  </si>
  <si>
    <t>Net income</t>
  </si>
  <si>
    <t>-</t>
    <phoneticPr fontId="1"/>
  </si>
  <si>
    <t>24</t>
    <phoneticPr fontId="1"/>
  </si>
  <si>
    <t>23</t>
    <phoneticPr fontId="1"/>
  </si>
  <si>
    <t>Restructuring charges</t>
    <phoneticPr fontId="1"/>
  </si>
  <si>
    <t>Operating income</t>
    <phoneticPr fontId="1"/>
  </si>
  <si>
    <t>Income before income taxes and equity income</t>
    <phoneticPr fontId="1"/>
  </si>
  <si>
    <t>Amortization of acquisition-related intangibles2</t>
  </si>
  <si>
    <t>Net income</t>
    <phoneticPr fontId="1"/>
  </si>
  <si>
    <t>13.5%🌤️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</si>
</sst>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sz val="12"/>
      <color rgb="FF00B050"/>
      <name val="Arial"/>
      <family val="2"/>
    </font>
    <font>
      <sz val="12"/>
      <color rgb="FF00B050"/>
      <name val="ＭＳ Ｐゴシック"/>
      <family val="2"/>
      <scheme val="minor"/>
    </font>
    <font>
      <sz val="12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</fills>
  <borders count="8">
    <border>
      <left/>
      <right/>
      <top/>
      <bottom/>
      <diagonal/>
    </border>
    <border>
      <left style="medium">
        <color rgb="FFFABF8F"/>
      </left>
      <right style="medium">
        <color rgb="FFCCCCCC"/>
      </right>
      <top style="medium">
        <color rgb="FFFABF8F"/>
      </top>
      <bottom style="medium">
        <color rgb="FFFABF8F"/>
      </bottom>
      <diagonal/>
    </border>
    <border>
      <left style="medium">
        <color rgb="FFCCCCCC"/>
      </left>
      <right style="medium">
        <color rgb="FFCCCCCC"/>
      </right>
      <top style="medium">
        <color rgb="FFFABF8F"/>
      </top>
      <bottom style="medium">
        <color rgb="FFFABF8F"/>
      </bottom>
      <diagonal/>
    </border>
    <border>
      <left style="medium">
        <color rgb="FFCCCCCC"/>
      </left>
      <right style="medium">
        <color rgb="FFFABF8F"/>
      </right>
      <top style="medium">
        <color rgb="FFFABF8F"/>
      </top>
      <bottom style="medium">
        <color rgb="FFFABF8F"/>
      </bottom>
      <diagonal/>
    </border>
    <border>
      <left style="medium">
        <color rgb="FFFABF8F"/>
      </left>
      <right style="medium">
        <color rgb="FFCCCCCC"/>
      </right>
      <top style="medium">
        <color rgb="FFCCCCCC"/>
      </top>
      <bottom style="medium">
        <color rgb="FFFABF8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ABF8F"/>
      </bottom>
      <diagonal/>
    </border>
    <border>
      <left style="medium">
        <color rgb="FFCCCCCC"/>
      </left>
      <right style="medium">
        <color rgb="FFFABF8F"/>
      </right>
      <top style="medium">
        <color rgb="FFCCCCCC"/>
      </top>
      <bottom style="medium">
        <color rgb="FFFABF8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/>
    <xf numFmtId="176" fontId="0" fillId="0" borderId="0" xfId="1" applyNumberFormat="1" applyFont="1" applyAlignment="1"/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horizontal="right" wrapText="1"/>
    </xf>
    <xf numFmtId="0" fontId="5" fillId="3" borderId="6" xfId="0" applyFont="1" applyFill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6" fillId="2" borderId="3" xfId="0" applyFont="1" applyFill="1" applyBorder="1" applyAlignment="1">
      <alignment horizontal="right" wrapText="1"/>
    </xf>
    <xf numFmtId="0" fontId="7" fillId="0" borderId="7" xfId="0" applyFont="1" applyBorder="1" applyAlignment="1">
      <alignment wrapText="1"/>
    </xf>
    <xf numFmtId="0" fontId="5" fillId="0" borderId="7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3" fontId="9" fillId="0" borderId="0" xfId="0" applyNumberFormat="1" applyFont="1"/>
    <xf numFmtId="3" fontId="10" fillId="0" borderId="0" xfId="0" applyNumberFormat="1" applyFont="1"/>
    <xf numFmtId="0" fontId="0" fillId="0" borderId="0" xfId="0" applyFill="1"/>
  </cellXfs>
  <cellStyles count="2">
    <cellStyle name="パーセント" xfId="1" builtinId="5"/>
    <cellStyle name="標準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2CDF1-FA3A-4789-8B0F-033161979E2D}" name="Table002__Page_1" displayName="Table002__Page_1" ref="A1:D17" totalsRowShown="0">
  <autoFilter ref="A1:D17" xr:uid="{1502CDF1-FA3A-4789-8B0F-033161979E2D}"/>
  <tableColumns count="4">
    <tableColumn id="1" xr3:uid="{3E998106-E13F-4FCC-9CFC-43C2F256DF19}" name="Column1" dataDxfId="2"/>
    <tableColumn id="2" xr3:uid="{3795A860-DEB4-410C-886B-E53C3843FEA3}" name="24"/>
    <tableColumn id="4" xr3:uid="{5312174E-49AC-4D9D-809C-9A6CBA29A603}" name="23" dataDxfId="1"/>
    <tableColumn id="5" xr3:uid="{302C9AF5-05DF-45A6-A795-C3EEFD578FCE}" name="-" dataDxfId="0">
      <calculatedColumnFormula>ROUND((B2-C2)/C2*100,1)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7"/>
  <sheetViews>
    <sheetView tabSelected="1" workbookViewId="0">
      <selection activeCell="B5" sqref="B5:C5"/>
    </sheetView>
  </sheetViews>
  <sheetFormatPr defaultRowHeight="14.25" x14ac:dyDescent="0.15"/>
  <cols>
    <col min="1" max="1" width="49.875" bestFit="1" customWidth="1"/>
    <col min="2" max="2" width="9.875" bestFit="1" customWidth="1"/>
    <col min="3" max="3" width="6.5" bestFit="1" customWidth="1"/>
    <col min="4" max="4" width="18.375" bestFit="1" customWidth="1"/>
    <col min="5" max="5" width="13.75" bestFit="1" customWidth="1"/>
    <col min="6" max="6" width="9.5" bestFit="1" customWidth="1"/>
    <col min="7" max="7" width="8.75" bestFit="1" customWidth="1"/>
    <col min="8" max="8" width="20.25" bestFit="1" customWidth="1"/>
    <col min="9" max="9" width="22.5" bestFit="1" customWidth="1"/>
    <col min="10" max="10" width="12.375" bestFit="1" customWidth="1"/>
    <col min="12" max="12" width="9.625" bestFit="1" customWidth="1"/>
  </cols>
  <sheetData>
    <row r="1" spans="1:12" x14ac:dyDescent="0.15">
      <c r="A1" t="s">
        <v>29</v>
      </c>
      <c r="B1" t="s">
        <v>30</v>
      </c>
      <c r="C1" t="s">
        <v>31</v>
      </c>
      <c r="D1" t="s">
        <v>10</v>
      </c>
      <c r="E1" t="s">
        <v>28</v>
      </c>
      <c r="F1" t="s">
        <v>11</v>
      </c>
      <c r="G1" t="s">
        <v>8</v>
      </c>
      <c r="H1" t="s">
        <v>9</v>
      </c>
      <c r="I1" t="s">
        <v>7</v>
      </c>
      <c r="J1" t="s">
        <v>6</v>
      </c>
      <c r="K1" t="s">
        <v>19</v>
      </c>
      <c r="L1" t="s">
        <v>5</v>
      </c>
    </row>
    <row r="2" spans="1:12" ht="17.25" x14ac:dyDescent="0.3">
      <c r="A2" t="s">
        <v>39</v>
      </c>
      <c r="B2" s="4">
        <v>12.3</v>
      </c>
      <c r="C2" s="3" t="s">
        <v>37</v>
      </c>
      <c r="D2" t="str">
        <f t="shared" ref="D2:D17" si="0">B2&amp;"%"&amp;C2</f>
        <v>12.3%🌤️</v>
      </c>
      <c r="H2" t="s">
        <v>52</v>
      </c>
      <c r="I2">
        <v>0.9</v>
      </c>
      <c r="J2">
        <v>30</v>
      </c>
    </row>
    <row r="3" spans="1:12" ht="17.25" x14ac:dyDescent="0.3">
      <c r="A3" t="s">
        <v>40</v>
      </c>
      <c r="B3" s="4">
        <v>11.3</v>
      </c>
      <c r="C3" s="2" t="s">
        <v>38</v>
      </c>
      <c r="D3" t="str">
        <f t="shared" si="0"/>
        <v>11.3%💧</v>
      </c>
      <c r="H3" t="s">
        <v>53</v>
      </c>
      <c r="I3">
        <v>0.9</v>
      </c>
      <c r="J3">
        <v>30</v>
      </c>
    </row>
    <row r="4" spans="1:12" ht="17.25" x14ac:dyDescent="0.3">
      <c r="A4" t="s">
        <v>41</v>
      </c>
      <c r="B4" s="4">
        <v>8.1999999999999993</v>
      </c>
      <c r="C4" s="2" t="s">
        <v>38</v>
      </c>
      <c r="D4" t="str">
        <f t="shared" si="0"/>
        <v>8.2%💧</v>
      </c>
      <c r="H4" t="s">
        <v>53</v>
      </c>
      <c r="I4">
        <v>0.9</v>
      </c>
      <c r="J4">
        <v>30</v>
      </c>
    </row>
    <row r="5" spans="1:12" ht="17.25" x14ac:dyDescent="0.3">
      <c r="A5" t="s">
        <v>42</v>
      </c>
      <c r="B5" s="4"/>
      <c r="C5" s="3"/>
      <c r="D5" t="str">
        <f t="shared" si="0"/>
        <v>%</v>
      </c>
      <c r="H5" t="s">
        <v>54</v>
      </c>
      <c r="I5">
        <v>0.9</v>
      </c>
      <c r="J5">
        <v>30</v>
      </c>
    </row>
    <row r="6" spans="1:12" ht="17.25" x14ac:dyDescent="0.3">
      <c r="A6" t="s">
        <v>32</v>
      </c>
      <c r="B6" s="4">
        <v>4.5999999999999996</v>
      </c>
      <c r="C6" s="2" t="s">
        <v>38</v>
      </c>
      <c r="D6" t="str">
        <f t="shared" si="0"/>
        <v>4.6%💧</v>
      </c>
      <c r="H6" t="s">
        <v>53</v>
      </c>
      <c r="I6">
        <v>0.9</v>
      </c>
      <c r="J6">
        <v>30</v>
      </c>
    </row>
    <row r="7" spans="1:12" ht="17.25" x14ac:dyDescent="0.3">
      <c r="A7" t="s">
        <v>43</v>
      </c>
      <c r="B7" s="4">
        <v>9.8000000000000007</v>
      </c>
      <c r="C7" s="2" t="s">
        <v>38</v>
      </c>
      <c r="D7" t="str">
        <f t="shared" si="0"/>
        <v>9.8%💧</v>
      </c>
      <c r="H7" t="s">
        <v>53</v>
      </c>
      <c r="I7">
        <v>0.9</v>
      </c>
      <c r="J7">
        <v>30</v>
      </c>
    </row>
    <row r="8" spans="1:12" ht="17.25" x14ac:dyDescent="0.3">
      <c r="A8" t="s">
        <v>67</v>
      </c>
      <c r="B8" s="4">
        <v>-5.7</v>
      </c>
      <c r="C8" s="3" t="s">
        <v>37</v>
      </c>
      <c r="D8" t="str">
        <f t="shared" si="0"/>
        <v>-5.7%🌤️</v>
      </c>
      <c r="H8" t="s">
        <v>53</v>
      </c>
      <c r="I8">
        <v>0.9</v>
      </c>
      <c r="J8">
        <v>30</v>
      </c>
    </row>
    <row r="9" spans="1:12" ht="17.25" x14ac:dyDescent="0.3">
      <c r="A9" t="s">
        <v>44</v>
      </c>
      <c r="B9" s="4">
        <v>-21.4</v>
      </c>
      <c r="C9" s="2" t="s">
        <v>38</v>
      </c>
      <c r="D9" t="str">
        <f t="shared" si="0"/>
        <v>-21.4%💧</v>
      </c>
      <c r="H9" t="s">
        <v>54</v>
      </c>
      <c r="I9">
        <v>0.9</v>
      </c>
      <c r="J9">
        <v>30</v>
      </c>
    </row>
    <row r="10" spans="1:12" ht="17.25" x14ac:dyDescent="0.3">
      <c r="A10" t="s">
        <v>57</v>
      </c>
      <c r="B10" s="4">
        <v>0</v>
      </c>
      <c r="C10" s="2"/>
      <c r="D10" t="str">
        <f t="shared" si="0"/>
        <v>0%</v>
      </c>
      <c r="H10" t="s">
        <v>53</v>
      </c>
      <c r="I10">
        <v>0.9</v>
      </c>
      <c r="J10">
        <v>30</v>
      </c>
    </row>
    <row r="11" spans="1:12" ht="17.25" x14ac:dyDescent="0.3">
      <c r="A11" t="s">
        <v>58</v>
      </c>
      <c r="B11" s="4">
        <v>20.3</v>
      </c>
      <c r="C11" s="3" t="s">
        <v>37</v>
      </c>
      <c r="D11" t="str">
        <f t="shared" si="0"/>
        <v>20.3%🌤️</v>
      </c>
      <c r="H11" t="s">
        <v>54</v>
      </c>
      <c r="I11">
        <v>0.9</v>
      </c>
      <c r="J11">
        <v>30</v>
      </c>
    </row>
    <row r="12" spans="1:12" ht="17.25" x14ac:dyDescent="0.3">
      <c r="A12" t="s">
        <v>46</v>
      </c>
      <c r="B12" s="4">
        <v>-17.399999999999999</v>
      </c>
      <c r="C12" s="3" t="s">
        <v>37</v>
      </c>
      <c r="D12" t="str">
        <f t="shared" si="0"/>
        <v>-17.4%🌤️</v>
      </c>
      <c r="H12" t="s">
        <v>53</v>
      </c>
      <c r="I12">
        <v>0.9</v>
      </c>
      <c r="J12">
        <v>30</v>
      </c>
    </row>
    <row r="13" spans="1:12" ht="17.25" x14ac:dyDescent="0.3">
      <c r="A13" t="s">
        <v>47</v>
      </c>
      <c r="B13">
        <v>2.8</v>
      </c>
      <c r="C13" s="3" t="s">
        <v>37</v>
      </c>
      <c r="D13" t="str">
        <f t="shared" si="0"/>
        <v>2.8%🌤️</v>
      </c>
      <c r="H13" t="s">
        <v>54</v>
      </c>
      <c r="I13">
        <v>0.9</v>
      </c>
      <c r="J13">
        <v>30</v>
      </c>
    </row>
    <row r="14" spans="1:12" x14ac:dyDescent="0.15">
      <c r="A14" t="s">
        <v>59</v>
      </c>
      <c r="B14">
        <v>20.6</v>
      </c>
      <c r="C14" t="s">
        <v>37</v>
      </c>
      <c r="D14" t="str">
        <f t="shared" si="0"/>
        <v>20.6%🌤️</v>
      </c>
      <c r="H14" t="s">
        <v>54</v>
      </c>
      <c r="I14">
        <v>0.9</v>
      </c>
      <c r="J14">
        <v>30</v>
      </c>
    </row>
    <row r="15" spans="1:12" ht="17.25" x14ac:dyDescent="0.3">
      <c r="A15" t="s">
        <v>49</v>
      </c>
      <c r="B15">
        <v>-1651.9</v>
      </c>
      <c r="C15" s="2" t="s">
        <v>38</v>
      </c>
      <c r="D15" t="str">
        <f t="shared" si="0"/>
        <v>-1651.9%💧</v>
      </c>
      <c r="H15" t="s">
        <v>53</v>
      </c>
      <c r="I15">
        <v>0.9</v>
      </c>
      <c r="J15">
        <v>30</v>
      </c>
    </row>
    <row r="16" spans="1:12" x14ac:dyDescent="0.15">
      <c r="A16" t="s">
        <v>50</v>
      </c>
      <c r="B16">
        <v>71.400000000000006</v>
      </c>
      <c r="C16" t="s">
        <v>37</v>
      </c>
      <c r="D16" t="str">
        <f t="shared" si="0"/>
        <v>71.4%🌤️</v>
      </c>
      <c r="H16" t="s">
        <v>54</v>
      </c>
      <c r="I16">
        <v>0.9</v>
      </c>
      <c r="J16">
        <v>30</v>
      </c>
    </row>
    <row r="17" spans="1:10" ht="17.25" x14ac:dyDescent="0.3">
      <c r="A17" t="s">
        <v>68</v>
      </c>
      <c r="B17">
        <v>-37.5</v>
      </c>
      <c r="C17" s="2" t="s">
        <v>38</v>
      </c>
      <c r="D17" t="str">
        <f t="shared" si="0"/>
        <v>-37.5%💧</v>
      </c>
      <c r="H17" t="s">
        <v>54</v>
      </c>
      <c r="I17">
        <v>0.9</v>
      </c>
      <c r="J17">
        <v>30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6"/>
  <sheetViews>
    <sheetView workbookViewId="0">
      <selection activeCell="E4" sqref="E4"/>
    </sheetView>
  </sheetViews>
  <sheetFormatPr defaultRowHeight="14.25" x14ac:dyDescent="0.15"/>
  <cols>
    <col min="1" max="2" width="44.375" bestFit="1" customWidth="1"/>
    <col min="3" max="3" width="7.875" customWidth="1"/>
    <col min="4" max="4" width="8.375" bestFit="1" customWidth="1"/>
    <col min="5" max="5" width="8.625" bestFit="1" customWidth="1"/>
    <col min="6" max="6" width="9" bestFit="1" customWidth="1"/>
    <col min="7" max="7" width="12.75" bestFit="1" customWidth="1"/>
    <col min="8" max="8" width="10" bestFit="1" customWidth="1"/>
    <col min="9" max="9" width="21.75" bestFit="1" customWidth="1"/>
    <col min="10" max="10" width="22.625" bestFit="1" customWidth="1"/>
    <col min="11" max="11" width="15" bestFit="1" customWidth="1"/>
    <col min="12" max="12" width="15.625" bestFit="1" customWidth="1"/>
    <col min="13" max="13" width="12.375" bestFit="1" customWidth="1"/>
    <col min="14" max="14" width="12.625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29</v>
      </c>
      <c r="E1" t="s">
        <v>0</v>
      </c>
      <c r="F1" t="s">
        <v>19</v>
      </c>
      <c r="G1" t="s">
        <v>12</v>
      </c>
      <c r="H1" t="s">
        <v>8</v>
      </c>
      <c r="I1" t="s">
        <v>13</v>
      </c>
      <c r="J1" t="s">
        <v>14</v>
      </c>
      <c r="K1" t="s">
        <v>16</v>
      </c>
      <c r="L1" t="s">
        <v>17</v>
      </c>
      <c r="M1" t="s">
        <v>6</v>
      </c>
      <c r="N1" t="s">
        <v>18</v>
      </c>
    </row>
    <row r="2" spans="1:14" x14ac:dyDescent="0.15">
      <c r="A2" t="s">
        <v>39</v>
      </c>
      <c r="B2" t="s">
        <v>40</v>
      </c>
      <c r="C2" s="1">
        <v>3524</v>
      </c>
      <c r="D2" s="1">
        <f>C2</f>
        <v>3524</v>
      </c>
      <c r="G2" t="s">
        <v>53</v>
      </c>
      <c r="H2" t="str">
        <f>G2</f>
        <v>Red</v>
      </c>
      <c r="I2" t="str">
        <f>G2</f>
        <v>Red</v>
      </c>
      <c r="J2" t="s">
        <v>15</v>
      </c>
      <c r="K2">
        <v>0.2</v>
      </c>
      <c r="L2">
        <v>1</v>
      </c>
      <c r="M2">
        <v>32</v>
      </c>
    </row>
    <row r="3" spans="1:14" x14ac:dyDescent="0.15">
      <c r="A3" t="s">
        <v>39</v>
      </c>
      <c r="B3" t="s">
        <v>41</v>
      </c>
      <c r="C3" s="1">
        <v>252</v>
      </c>
      <c r="D3" s="1">
        <f t="shared" ref="D3:D16" si="0">C3</f>
        <v>252</v>
      </c>
      <c r="G3" t="s">
        <v>53</v>
      </c>
      <c r="H3" t="str">
        <f t="shared" ref="H3:H12" si="1">G3</f>
        <v>Red</v>
      </c>
      <c r="I3" t="str">
        <f t="shared" ref="I3:I12" si="2">G3</f>
        <v>Red</v>
      </c>
      <c r="J3" t="s">
        <v>4</v>
      </c>
      <c r="K3">
        <v>0.2</v>
      </c>
      <c r="L3">
        <v>1</v>
      </c>
      <c r="M3">
        <v>32</v>
      </c>
    </row>
    <row r="4" spans="1:14" x14ac:dyDescent="0.15">
      <c r="A4" t="s">
        <v>39</v>
      </c>
      <c r="B4" t="s">
        <v>42</v>
      </c>
      <c r="C4" s="1">
        <v>3882</v>
      </c>
      <c r="D4" s="1">
        <f t="shared" si="0"/>
        <v>3882</v>
      </c>
      <c r="E4" t="s">
        <v>69</v>
      </c>
      <c r="G4" t="s">
        <v>54</v>
      </c>
      <c r="H4" t="str">
        <f t="shared" si="1"/>
        <v>Green</v>
      </c>
      <c r="I4" t="str">
        <f t="shared" si="2"/>
        <v>Green</v>
      </c>
      <c r="J4" t="s">
        <v>4</v>
      </c>
      <c r="K4">
        <v>0.2</v>
      </c>
      <c r="L4">
        <v>1</v>
      </c>
      <c r="M4">
        <v>32</v>
      </c>
    </row>
    <row r="5" spans="1:14" x14ac:dyDescent="0.15">
      <c r="A5" t="s">
        <v>42</v>
      </c>
      <c r="B5" t="s">
        <v>32</v>
      </c>
      <c r="C5" s="1">
        <v>1712</v>
      </c>
      <c r="D5" s="1">
        <f t="shared" si="0"/>
        <v>1712</v>
      </c>
      <c r="G5" t="s">
        <v>53</v>
      </c>
      <c r="H5" t="str">
        <f t="shared" si="1"/>
        <v>Red</v>
      </c>
      <c r="I5" t="str">
        <f t="shared" si="2"/>
        <v>Red</v>
      </c>
      <c r="J5" t="s">
        <v>4</v>
      </c>
      <c r="K5">
        <v>0.2</v>
      </c>
      <c r="L5">
        <v>1</v>
      </c>
      <c r="M5">
        <v>32</v>
      </c>
    </row>
    <row r="6" spans="1:14" x14ac:dyDescent="0.15">
      <c r="A6" t="s">
        <v>42</v>
      </c>
      <c r="B6" t="s">
        <v>43</v>
      </c>
      <c r="C6" s="1">
        <v>792</v>
      </c>
      <c r="D6" s="1">
        <f t="shared" si="0"/>
        <v>792</v>
      </c>
      <c r="G6" t="s">
        <v>53</v>
      </c>
      <c r="H6" t="str">
        <f t="shared" si="1"/>
        <v>Red</v>
      </c>
      <c r="I6" t="str">
        <f t="shared" si="2"/>
        <v>Red</v>
      </c>
      <c r="J6" t="s">
        <v>4</v>
      </c>
      <c r="K6">
        <v>0.2</v>
      </c>
      <c r="L6">
        <v>1</v>
      </c>
      <c r="M6">
        <v>32</v>
      </c>
    </row>
    <row r="7" spans="1:14" x14ac:dyDescent="0.15">
      <c r="A7" t="s">
        <v>42</v>
      </c>
      <c r="B7" t="s">
        <v>56</v>
      </c>
      <c r="C7" s="1">
        <v>332</v>
      </c>
      <c r="D7" s="1">
        <f t="shared" si="0"/>
        <v>332</v>
      </c>
      <c r="G7" t="s">
        <v>53</v>
      </c>
      <c r="H7" t="str">
        <f t="shared" ref="H7" si="3">G7</f>
        <v>Red</v>
      </c>
      <c r="I7" t="str">
        <f t="shared" ref="I7" si="4">G7</f>
        <v>Red</v>
      </c>
      <c r="J7" t="s">
        <v>4</v>
      </c>
      <c r="K7">
        <v>0.2</v>
      </c>
      <c r="L7">
        <v>1</v>
      </c>
      <c r="M7">
        <v>32</v>
      </c>
    </row>
    <row r="8" spans="1:14" x14ac:dyDescent="0.15">
      <c r="A8" s="19" t="s">
        <v>44</v>
      </c>
      <c r="B8" s="19" t="s">
        <v>42</v>
      </c>
      <c r="C8" s="17">
        <v>11</v>
      </c>
      <c r="D8" s="1">
        <f>C8</f>
        <v>11</v>
      </c>
      <c r="G8" t="s">
        <v>54</v>
      </c>
      <c r="H8" t="str">
        <f>G8</f>
        <v>Green</v>
      </c>
      <c r="I8" t="str">
        <f>G8</f>
        <v>Green</v>
      </c>
      <c r="J8" t="s">
        <v>4</v>
      </c>
      <c r="K8">
        <v>0.2</v>
      </c>
      <c r="L8">
        <v>1</v>
      </c>
      <c r="M8">
        <v>32</v>
      </c>
    </row>
    <row r="9" spans="1:14" x14ac:dyDescent="0.15">
      <c r="A9" s="19" t="s">
        <v>42</v>
      </c>
      <c r="B9" s="19" t="s">
        <v>64</v>
      </c>
      <c r="C9" s="1">
        <v>186</v>
      </c>
      <c r="D9" s="1">
        <f>C9</f>
        <v>186</v>
      </c>
      <c r="G9" t="s">
        <v>53</v>
      </c>
      <c r="H9" t="str">
        <f t="shared" ref="H9" si="5">G9</f>
        <v>Red</v>
      </c>
      <c r="I9" t="str">
        <f t="shared" ref="I9" si="6">G9</f>
        <v>Red</v>
      </c>
      <c r="J9" t="s">
        <v>4</v>
      </c>
      <c r="K9">
        <v>0.2</v>
      </c>
      <c r="L9">
        <v>1</v>
      </c>
      <c r="M9">
        <v>32</v>
      </c>
    </row>
    <row r="10" spans="1:14" x14ac:dyDescent="0.15">
      <c r="A10" t="s">
        <v>42</v>
      </c>
      <c r="B10" t="s">
        <v>58</v>
      </c>
      <c r="C10" s="1">
        <v>871</v>
      </c>
      <c r="D10" s="1">
        <f t="shared" si="0"/>
        <v>871</v>
      </c>
      <c r="G10" t="s">
        <v>54</v>
      </c>
      <c r="H10" t="str">
        <f t="shared" si="1"/>
        <v>Green</v>
      </c>
      <c r="I10" t="str">
        <f t="shared" si="2"/>
        <v>Green</v>
      </c>
      <c r="J10" t="s">
        <v>4</v>
      </c>
      <c r="K10">
        <v>0.2</v>
      </c>
      <c r="L10">
        <v>1</v>
      </c>
      <c r="M10">
        <v>32</v>
      </c>
    </row>
    <row r="11" spans="1:14" x14ac:dyDescent="0.15">
      <c r="A11" t="s">
        <v>58</v>
      </c>
      <c r="B11" t="s">
        <v>46</v>
      </c>
      <c r="C11" s="18">
        <v>19</v>
      </c>
      <c r="D11" s="1">
        <f t="shared" si="0"/>
        <v>19</v>
      </c>
      <c r="G11" t="s">
        <v>53</v>
      </c>
      <c r="H11" t="str">
        <f t="shared" si="1"/>
        <v>Red</v>
      </c>
      <c r="I11" t="str">
        <f t="shared" si="2"/>
        <v>Red</v>
      </c>
      <c r="J11" t="s">
        <v>4</v>
      </c>
      <c r="K11">
        <v>0.2</v>
      </c>
      <c r="L11">
        <v>1</v>
      </c>
      <c r="M11">
        <v>32</v>
      </c>
    </row>
    <row r="12" spans="1:14" x14ac:dyDescent="0.15">
      <c r="A12" t="s">
        <v>47</v>
      </c>
      <c r="B12" t="s">
        <v>58</v>
      </c>
      <c r="C12" s="1">
        <v>37</v>
      </c>
      <c r="D12" s="1">
        <f t="shared" si="0"/>
        <v>37</v>
      </c>
      <c r="G12" t="s">
        <v>54</v>
      </c>
      <c r="H12" t="str">
        <f t="shared" si="1"/>
        <v>Green</v>
      </c>
      <c r="I12" t="str">
        <f t="shared" si="2"/>
        <v>Green</v>
      </c>
      <c r="J12" t="s">
        <v>4</v>
      </c>
      <c r="K12">
        <v>0.2</v>
      </c>
      <c r="L12">
        <v>1</v>
      </c>
      <c r="M12">
        <v>32</v>
      </c>
    </row>
    <row r="13" spans="1:14" x14ac:dyDescent="0.15">
      <c r="A13" t="s">
        <v>58</v>
      </c>
      <c r="B13" t="s">
        <v>66</v>
      </c>
      <c r="C13" s="1">
        <v>889</v>
      </c>
      <c r="D13" s="1">
        <f t="shared" si="0"/>
        <v>889</v>
      </c>
      <c r="G13" t="s">
        <v>54</v>
      </c>
      <c r="H13" t="str">
        <f t="shared" ref="H13:H16" si="7">G13</f>
        <v>Green</v>
      </c>
      <c r="I13" t="str">
        <f t="shared" ref="I13:I16" si="8">G13</f>
        <v>Green</v>
      </c>
      <c r="J13" t="s">
        <v>4</v>
      </c>
      <c r="K13">
        <v>0.2</v>
      </c>
      <c r="L13">
        <v>1</v>
      </c>
      <c r="M13">
        <v>32</v>
      </c>
    </row>
    <row r="14" spans="1:14" x14ac:dyDescent="0.15">
      <c r="A14" t="s">
        <v>66</v>
      </c>
      <c r="B14" t="s">
        <v>49</v>
      </c>
      <c r="C14" s="1">
        <v>419</v>
      </c>
      <c r="D14" s="1">
        <f t="shared" si="0"/>
        <v>419</v>
      </c>
      <c r="G14" t="s">
        <v>53</v>
      </c>
      <c r="H14" t="str">
        <f t="shared" si="7"/>
        <v>Red</v>
      </c>
      <c r="I14" t="str">
        <f t="shared" si="8"/>
        <v>Red</v>
      </c>
      <c r="J14" t="s">
        <v>4</v>
      </c>
      <c r="K14">
        <v>0.2</v>
      </c>
      <c r="L14">
        <v>1</v>
      </c>
      <c r="M14">
        <v>32</v>
      </c>
    </row>
    <row r="15" spans="1:14" x14ac:dyDescent="0.15">
      <c r="A15" t="s">
        <v>50</v>
      </c>
      <c r="B15" t="s">
        <v>59</v>
      </c>
      <c r="C15" s="1">
        <v>12</v>
      </c>
      <c r="D15" s="1">
        <f t="shared" si="0"/>
        <v>12</v>
      </c>
      <c r="G15" t="s">
        <v>54</v>
      </c>
      <c r="H15" t="str">
        <f t="shared" si="7"/>
        <v>Green</v>
      </c>
      <c r="I15" t="str">
        <f t="shared" si="8"/>
        <v>Green</v>
      </c>
      <c r="J15" t="s">
        <v>4</v>
      </c>
      <c r="K15">
        <v>0.2</v>
      </c>
      <c r="L15">
        <v>1</v>
      </c>
      <c r="M15">
        <v>32</v>
      </c>
    </row>
    <row r="16" spans="1:14" x14ac:dyDescent="0.15">
      <c r="A16" t="s">
        <v>59</v>
      </c>
      <c r="B16" t="s">
        <v>68</v>
      </c>
      <c r="C16" s="1">
        <v>482</v>
      </c>
      <c r="D16" s="1">
        <f t="shared" si="0"/>
        <v>482</v>
      </c>
      <c r="G16" t="s">
        <v>55</v>
      </c>
      <c r="H16" t="str">
        <f t="shared" si="7"/>
        <v>Darkgreen</v>
      </c>
      <c r="I16" t="str">
        <f t="shared" si="8"/>
        <v>Darkgreen</v>
      </c>
      <c r="J16" t="s">
        <v>4</v>
      </c>
      <c r="K16">
        <v>0.2</v>
      </c>
      <c r="L16">
        <v>1</v>
      </c>
      <c r="M16">
        <v>32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B3C0-739D-4A18-9138-8EF06DDF1FCF}">
  <dimension ref="A1:F17"/>
  <sheetViews>
    <sheetView workbookViewId="0">
      <selection activeCell="C23" sqref="C23"/>
    </sheetView>
  </sheetViews>
  <sheetFormatPr defaultRowHeight="14.25" x14ac:dyDescent="0.15"/>
  <cols>
    <col min="1" max="1" width="44.375" bestFit="1" customWidth="1"/>
    <col min="2" max="3" width="11.875" bestFit="1" customWidth="1"/>
  </cols>
  <sheetData>
    <row r="1" spans="1:6" x14ac:dyDescent="0.15">
      <c r="A1" t="s">
        <v>33</v>
      </c>
      <c r="B1" t="s">
        <v>62</v>
      </c>
      <c r="C1" t="s">
        <v>63</v>
      </c>
      <c r="D1" t="s">
        <v>61</v>
      </c>
    </row>
    <row r="2" spans="1:6" x14ac:dyDescent="0.15">
      <c r="A2" t="s">
        <v>39</v>
      </c>
      <c r="B2">
        <v>7658</v>
      </c>
      <c r="C2" s="1">
        <v>6819</v>
      </c>
      <c r="D2">
        <f t="shared" ref="D2:D17" si="0">ROUND((B2-C2)/C2*100,1)</f>
        <v>12.3</v>
      </c>
    </row>
    <row r="3" spans="1:6" x14ac:dyDescent="0.15">
      <c r="A3" t="s">
        <v>40</v>
      </c>
      <c r="B3">
        <v>3524</v>
      </c>
      <c r="C3" s="1">
        <v>3167</v>
      </c>
      <c r="D3">
        <f t="shared" si="0"/>
        <v>11.3</v>
      </c>
    </row>
    <row r="4" spans="1:6" x14ac:dyDescent="0.15">
      <c r="A4" t="s">
        <v>41</v>
      </c>
      <c r="B4">
        <v>252</v>
      </c>
      <c r="C4">
        <v>233</v>
      </c>
      <c r="D4">
        <f t="shared" si="0"/>
        <v>8.1999999999999993</v>
      </c>
    </row>
    <row r="5" spans="1:6" x14ac:dyDescent="0.15">
      <c r="A5" t="s">
        <v>42</v>
      </c>
      <c r="B5">
        <v>3882</v>
      </c>
      <c r="C5" s="1">
        <v>3419</v>
      </c>
      <c r="D5">
        <f t="shared" si="0"/>
        <v>13.5</v>
      </c>
      <c r="F5">
        <v>3882</v>
      </c>
    </row>
    <row r="6" spans="1:6" x14ac:dyDescent="0.15">
      <c r="A6" t="s">
        <v>32</v>
      </c>
      <c r="B6">
        <v>1712</v>
      </c>
      <c r="C6" s="1">
        <v>1636</v>
      </c>
      <c r="D6">
        <f t="shared" si="0"/>
        <v>4.5999999999999996</v>
      </c>
      <c r="F6">
        <f>SUM(B6:B10)</f>
        <v>3011</v>
      </c>
    </row>
    <row r="7" spans="1:6" x14ac:dyDescent="0.15">
      <c r="A7" t="s">
        <v>43</v>
      </c>
      <c r="B7">
        <v>792</v>
      </c>
      <c r="C7">
        <v>721</v>
      </c>
      <c r="D7">
        <f t="shared" si="0"/>
        <v>9.8000000000000007</v>
      </c>
      <c r="F7">
        <f>F5-F6</f>
        <v>871</v>
      </c>
    </row>
    <row r="8" spans="1:6" x14ac:dyDescent="0.15">
      <c r="A8" t="s">
        <v>41</v>
      </c>
      <c r="B8">
        <v>332</v>
      </c>
      <c r="C8">
        <v>352</v>
      </c>
      <c r="D8">
        <f t="shared" si="0"/>
        <v>-5.7</v>
      </c>
    </row>
    <row r="9" spans="1:6" x14ac:dyDescent="0.15">
      <c r="A9" t="s">
        <v>44</v>
      </c>
      <c r="B9">
        <v>-11</v>
      </c>
      <c r="C9">
        <v>-14</v>
      </c>
      <c r="D9">
        <f t="shared" si="0"/>
        <v>-21.4</v>
      </c>
    </row>
    <row r="10" spans="1:6" x14ac:dyDescent="0.15">
      <c r="A10" t="s">
        <v>64</v>
      </c>
      <c r="B10">
        <v>186</v>
      </c>
      <c r="C10">
        <v>0</v>
      </c>
      <c r="D10" t="e">
        <f t="shared" si="0"/>
        <v>#DIV/0!</v>
      </c>
    </row>
    <row r="11" spans="1:6" x14ac:dyDescent="0.15">
      <c r="A11" t="s">
        <v>65</v>
      </c>
      <c r="B11">
        <v>871</v>
      </c>
      <c r="C11">
        <v>724</v>
      </c>
      <c r="D11">
        <f t="shared" si="0"/>
        <v>20.3</v>
      </c>
    </row>
    <row r="12" spans="1:6" x14ac:dyDescent="0.15">
      <c r="A12" t="s">
        <v>46</v>
      </c>
      <c r="B12">
        <v>-19</v>
      </c>
      <c r="C12">
        <v>-23</v>
      </c>
      <c r="D12">
        <f t="shared" si="0"/>
        <v>-17.399999999999999</v>
      </c>
    </row>
    <row r="13" spans="1:6" x14ac:dyDescent="0.15">
      <c r="A13" t="s">
        <v>47</v>
      </c>
      <c r="B13">
        <v>37</v>
      </c>
      <c r="C13">
        <v>36</v>
      </c>
      <c r="D13">
        <f t="shared" si="0"/>
        <v>2.8</v>
      </c>
    </row>
    <row r="14" spans="1:6" x14ac:dyDescent="0.15">
      <c r="A14" t="s">
        <v>66</v>
      </c>
      <c r="B14">
        <v>889</v>
      </c>
      <c r="C14">
        <v>737</v>
      </c>
      <c r="D14">
        <f t="shared" si="0"/>
        <v>20.6</v>
      </c>
    </row>
    <row r="15" spans="1:6" x14ac:dyDescent="0.15">
      <c r="A15" t="s">
        <v>49</v>
      </c>
      <c r="B15">
        <v>419</v>
      </c>
      <c r="C15">
        <v>-27</v>
      </c>
      <c r="D15">
        <f t="shared" si="0"/>
        <v>-1651.9</v>
      </c>
    </row>
    <row r="16" spans="1:6" x14ac:dyDescent="0.15">
      <c r="A16" t="s">
        <v>50</v>
      </c>
      <c r="B16">
        <v>12</v>
      </c>
      <c r="C16">
        <v>7</v>
      </c>
      <c r="D16">
        <f t="shared" si="0"/>
        <v>71.400000000000006</v>
      </c>
    </row>
    <row r="17" spans="1:4" x14ac:dyDescent="0.15">
      <c r="A17" t="s">
        <v>60</v>
      </c>
      <c r="B17">
        <v>482</v>
      </c>
      <c r="C17">
        <v>771</v>
      </c>
      <c r="D17">
        <f t="shared" si="0"/>
        <v>-37.5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B0EE-0CBB-4C30-8CF1-9A722CE14649}">
  <dimension ref="A1:D16"/>
  <sheetViews>
    <sheetView workbookViewId="0">
      <selection activeCell="D2" sqref="D2"/>
    </sheetView>
  </sheetViews>
  <sheetFormatPr defaultRowHeight="14.25" x14ac:dyDescent="0.15"/>
  <cols>
    <col min="1" max="1" width="37.875" bestFit="1" customWidth="1"/>
    <col min="2" max="3" width="6.25" bestFit="1" customWidth="1"/>
    <col min="4" max="4" width="7.375" bestFit="1" customWidth="1"/>
  </cols>
  <sheetData>
    <row r="1" spans="1:4" ht="16.5" thickBot="1" x14ac:dyDescent="0.3">
      <c r="A1" s="5" t="s">
        <v>33</v>
      </c>
      <c r="B1" s="6">
        <v>24</v>
      </c>
      <c r="C1" s="13">
        <v>23</v>
      </c>
      <c r="D1" s="14"/>
    </row>
    <row r="2" spans="1:4" ht="15.75" thickBot="1" x14ac:dyDescent="0.25">
      <c r="A2" s="7" t="s">
        <v>39</v>
      </c>
      <c r="B2" s="8">
        <v>5835</v>
      </c>
      <c r="C2" s="9">
        <v>5473</v>
      </c>
      <c r="D2" s="15">
        <v>6.6</v>
      </c>
    </row>
    <row r="3" spans="1:4" ht="15.75" thickBot="1" x14ac:dyDescent="0.25">
      <c r="A3" s="10" t="s">
        <v>40</v>
      </c>
      <c r="B3" s="11">
        <v>2740</v>
      </c>
      <c r="C3" s="12">
        <v>2683</v>
      </c>
      <c r="D3" s="15">
        <v>2.1</v>
      </c>
    </row>
    <row r="4" spans="1:4" ht="30.75" thickBot="1" x14ac:dyDescent="0.25">
      <c r="A4" s="7" t="s">
        <v>41</v>
      </c>
      <c r="B4" s="8">
        <v>231</v>
      </c>
      <c r="C4" s="9">
        <v>230</v>
      </c>
      <c r="D4" s="15">
        <v>0.4</v>
      </c>
    </row>
    <row r="5" spans="1:4" ht="15.75" thickBot="1" x14ac:dyDescent="0.25">
      <c r="A5" s="7" t="s">
        <v>42</v>
      </c>
      <c r="B5" s="8">
        <v>2864</v>
      </c>
      <c r="C5" s="9">
        <v>2560</v>
      </c>
      <c r="D5" s="15">
        <v>11.9</v>
      </c>
    </row>
    <row r="6" spans="1:4" ht="15.75" thickBot="1" x14ac:dyDescent="0.25">
      <c r="A6" s="7" t="s">
        <v>32</v>
      </c>
      <c r="B6" s="8">
        <v>1583</v>
      </c>
      <c r="C6" s="9">
        <v>1525</v>
      </c>
      <c r="D6" s="15">
        <v>3.8</v>
      </c>
    </row>
    <row r="7" spans="1:4" ht="15.75" thickBot="1" x14ac:dyDescent="0.25">
      <c r="A7" s="10" t="s">
        <v>43</v>
      </c>
      <c r="B7" s="11">
        <v>650</v>
      </c>
      <c r="C7" s="12">
        <v>620</v>
      </c>
      <c r="D7" s="15">
        <v>4.8</v>
      </c>
    </row>
    <row r="8" spans="1:4" ht="30.75" thickBot="1" x14ac:dyDescent="0.25">
      <c r="A8" s="7" t="s">
        <v>56</v>
      </c>
      <c r="B8" s="8">
        <v>372</v>
      </c>
      <c r="C8" s="9">
        <v>392</v>
      </c>
      <c r="D8" s="15">
        <v>-5.0999999999999996</v>
      </c>
    </row>
    <row r="9" spans="1:4" ht="15.75" thickBot="1" x14ac:dyDescent="0.25">
      <c r="A9" s="10" t="s">
        <v>44</v>
      </c>
      <c r="B9" s="16">
        <v>-10</v>
      </c>
      <c r="C9" s="12">
        <v>-13</v>
      </c>
      <c r="D9" s="15">
        <v>-23.1</v>
      </c>
    </row>
    <row r="10" spans="1:4" ht="15.75" thickBot="1" x14ac:dyDescent="0.25">
      <c r="A10" s="7" t="s">
        <v>45</v>
      </c>
      <c r="B10" s="8">
        <v>269</v>
      </c>
      <c r="C10" s="9">
        <v>36</v>
      </c>
      <c r="D10" s="15">
        <v>647.20000000000005</v>
      </c>
    </row>
    <row r="11" spans="1:4" ht="15.75" thickBot="1" x14ac:dyDescent="0.25">
      <c r="A11" s="10" t="s">
        <v>46</v>
      </c>
      <c r="B11" s="11">
        <v>-25</v>
      </c>
      <c r="C11" s="12">
        <v>-25</v>
      </c>
      <c r="D11" s="15">
        <v>0</v>
      </c>
    </row>
    <row r="12" spans="1:4" ht="15.75" thickBot="1" x14ac:dyDescent="0.25">
      <c r="A12" s="7" t="s">
        <v>47</v>
      </c>
      <c r="B12" s="8">
        <v>55</v>
      </c>
      <c r="C12" s="9">
        <v>53</v>
      </c>
      <c r="D12" s="15">
        <v>3.8</v>
      </c>
    </row>
    <row r="13" spans="1:4" ht="30.75" thickBot="1" x14ac:dyDescent="0.25">
      <c r="A13" s="10" t="s">
        <v>48</v>
      </c>
      <c r="B13" s="11">
        <v>299</v>
      </c>
      <c r="C13" s="12">
        <v>64</v>
      </c>
      <c r="D13" s="15">
        <v>367.2</v>
      </c>
    </row>
    <row r="14" spans="1:4" ht="15.75" thickBot="1" x14ac:dyDescent="0.25">
      <c r="A14" s="7" t="s">
        <v>49</v>
      </c>
      <c r="B14" s="8">
        <v>41</v>
      </c>
      <c r="C14" s="9">
        <v>-52</v>
      </c>
      <c r="D14" s="15">
        <v>-178.8</v>
      </c>
    </row>
    <row r="15" spans="1:4" ht="15.75" thickBot="1" x14ac:dyDescent="0.25">
      <c r="A15" s="10" t="s">
        <v>50</v>
      </c>
      <c r="B15" s="11">
        <v>7</v>
      </c>
      <c r="C15" s="12">
        <v>7</v>
      </c>
      <c r="D15" s="15">
        <v>0</v>
      </c>
    </row>
    <row r="16" spans="1:4" ht="15.75" thickBot="1" x14ac:dyDescent="0.25">
      <c r="A16" s="7" t="s">
        <v>51</v>
      </c>
      <c r="B16" s="8">
        <v>265</v>
      </c>
      <c r="C16" s="9">
        <v>123</v>
      </c>
      <c r="D16" s="15">
        <v>115.4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"/>
  <sheetViews>
    <sheetView workbookViewId="0">
      <selection activeCell="H18" sqref="H18"/>
    </sheetView>
  </sheetViews>
  <sheetFormatPr defaultRowHeight="14.25" x14ac:dyDescent="0.15"/>
  <cols>
    <col min="1" max="1" width="14" bestFit="1" customWidth="1"/>
    <col min="2" max="2" width="13.875" bestFit="1" customWidth="1"/>
    <col min="3" max="3" width="9.25" bestFit="1" customWidth="1"/>
    <col min="4" max="4" width="9.125" bestFit="1" customWidth="1"/>
    <col min="5" max="5" width="15" bestFit="1" customWidth="1"/>
    <col min="6" max="6" width="14.75" bestFit="1" customWidth="1"/>
    <col min="7" max="7" width="12.125" bestFit="1" customWidth="1"/>
    <col min="8" max="8" width="12.875" bestFit="1" customWidth="1"/>
    <col min="9" max="9" width="13" bestFit="1" customWidth="1"/>
  </cols>
  <sheetData>
    <row r="1" spans="1:9" x14ac:dyDescent="0.15">
      <c r="A1" t="s">
        <v>27</v>
      </c>
      <c r="B1" t="s">
        <v>26</v>
      </c>
      <c r="C1" t="s">
        <v>20</v>
      </c>
      <c r="D1" t="s">
        <v>21</v>
      </c>
      <c r="E1" t="s">
        <v>23</v>
      </c>
      <c r="F1" t="s">
        <v>22</v>
      </c>
      <c r="G1" t="s">
        <v>36</v>
      </c>
      <c r="H1" t="s">
        <v>34</v>
      </c>
      <c r="I1" t="s">
        <v>35</v>
      </c>
    </row>
    <row r="2" spans="1:9" x14ac:dyDescent="0.15">
      <c r="A2" t="s">
        <v>24</v>
      </c>
      <c r="C2" t="s">
        <v>25</v>
      </c>
      <c r="E2" t="b">
        <v>1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Table002 (Page 1)</vt:lpstr>
      <vt:lpstr>Table003 (Page 5)</vt:lpstr>
      <vt:lpstr>option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2025-05-06T14:33:40Z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