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codeName="ThisWorkbook" defaultThemeVersion="124226"/>
  <xr:revisionPtr revIDLastSave="0" documentId="13_ncr:1_{9E9E25CA-73BE-488C-88B9-6D842910213E}" xr6:coauthVersionLast="47" xr6:coauthVersionMax="47" xr10:uidLastSave="{00000000-0000-0000-0000-000000000000}"/>
  <bookViews>
    <workbookView xWindow="7725" yWindow="1290" windowWidth="19965" windowHeight="13875" tabRatio="587" activeTab="1" xr2:uid="{00000000-000D-0000-FFFF-FFFF00000000}"/>
  </bookViews>
  <sheets>
    <sheet name="node" sheetId="1" r:id="rId1"/>
    <sheet name="edge" sheetId="2" r:id="rId2"/>
    <sheet name="Table003 (Page 5)" sheetId="13" r:id="rId3"/>
    <sheet name="option" sheetId="3" r:id="rId4"/>
  </sheets>
  <definedNames>
    <definedName name="_xlnm._FilterDatabase" localSheetId="1" hidden="1">edge!$A$1:$B$6</definedName>
    <definedName name="_xlnm._FilterDatabase" localSheetId="0" hidden="1">node!$A$1:$J$4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8" i="1"/>
  <c r="H7" i="2"/>
  <c r="I7" i="2"/>
  <c r="D7" i="2"/>
  <c r="H12" i="2"/>
  <c r="I12" i="2"/>
  <c r="H13" i="2"/>
  <c r="I13" i="2"/>
  <c r="H14" i="2"/>
  <c r="I14" i="2"/>
  <c r="D12" i="2"/>
  <c r="D13" i="2"/>
  <c r="D14" i="2"/>
  <c r="D3" i="1"/>
  <c r="D4" i="1"/>
  <c r="D5" i="1"/>
  <c r="D6" i="1"/>
  <c r="D7" i="1"/>
  <c r="D9" i="1"/>
  <c r="D10" i="1"/>
  <c r="D3" i="2" l="1"/>
  <c r="D4" i="2"/>
  <c r="D5" i="2"/>
  <c r="D6" i="2"/>
  <c r="D8" i="2"/>
  <c r="D9" i="2"/>
  <c r="D10" i="2"/>
  <c r="D11" i="2"/>
  <c r="D2" i="2"/>
  <c r="H10" i="2"/>
  <c r="I10" i="2"/>
  <c r="H11" i="2"/>
  <c r="I11" i="2"/>
  <c r="D2" i="1"/>
  <c r="H3" i="2" l="1"/>
  <c r="I3" i="2"/>
  <c r="H4" i="2"/>
  <c r="I4" i="2"/>
  <c r="H5" i="2"/>
  <c r="I5" i="2"/>
  <c r="H6" i="2"/>
  <c r="I6" i="2"/>
  <c r="H8" i="2"/>
  <c r="I8" i="2"/>
  <c r="H9" i="2"/>
  <c r="I9" i="2"/>
  <c r="I2" i="2"/>
  <c r="H2" i="2"/>
</calcChain>
</file>

<file path=xl/sharedStrings.xml><?xml version="1.0" encoding="utf-8"?>
<sst xmlns="http://schemas.openxmlformats.org/spreadsheetml/2006/main" count="148" uniqueCount="58">
  <si>
    <t>memo</t>
  </si>
  <si>
    <t>source</t>
  </si>
  <si>
    <t>target</t>
  </si>
  <si>
    <t>value</t>
    <phoneticPr fontId="1"/>
  </si>
  <si>
    <t>none</t>
  </si>
  <si>
    <t>css.height</t>
    <phoneticPr fontId="1"/>
  </si>
  <si>
    <t>css.font-size</t>
    <phoneticPr fontId="1"/>
  </si>
  <si>
    <t>css.background-opacity</t>
    <phoneticPr fontId="1"/>
  </si>
  <si>
    <t>css.color</t>
    <phoneticPr fontId="1"/>
  </si>
  <si>
    <t>css.background-color</t>
    <phoneticPr fontId="1"/>
  </si>
  <si>
    <t>memo</t>
    <phoneticPr fontId="1"/>
  </si>
  <si>
    <t>css.shape</t>
    <phoneticPr fontId="1"/>
  </si>
  <si>
    <t>css.line-color</t>
    <phoneticPr fontId="1"/>
  </si>
  <si>
    <t>css.target-arrow-color</t>
    <phoneticPr fontId="1"/>
  </si>
  <si>
    <t>css.target-arrow-shape</t>
    <phoneticPr fontId="1"/>
  </si>
  <si>
    <t>none</t>
    <phoneticPr fontId="1"/>
  </si>
  <si>
    <t>css.line-opacity</t>
    <phoneticPr fontId="1"/>
  </si>
  <si>
    <t>css.text-opacity</t>
    <phoneticPr fontId="1"/>
  </si>
  <si>
    <t>css.line-style</t>
    <phoneticPr fontId="1"/>
  </si>
  <si>
    <t>css.width</t>
    <phoneticPr fontId="1"/>
  </si>
  <si>
    <t>node_unit</t>
    <phoneticPr fontId="1"/>
  </si>
  <si>
    <t>edge_unit</t>
    <phoneticPr fontId="1"/>
  </si>
  <si>
    <t>use_scale_width</t>
    <phoneticPr fontId="1"/>
  </si>
  <si>
    <t>use_label_merge</t>
    <phoneticPr fontId="1"/>
  </si>
  <si>
    <t>$</t>
    <phoneticPr fontId="1"/>
  </si>
  <si>
    <t>M</t>
    <phoneticPr fontId="1"/>
  </si>
  <si>
    <t>edge_currency</t>
    <phoneticPr fontId="1"/>
  </si>
  <si>
    <t>node_currency</t>
    <phoneticPr fontId="1"/>
  </si>
  <si>
    <t>image</t>
    <phoneticPr fontId="1"/>
  </si>
  <si>
    <t>label</t>
    <phoneticPr fontId="1"/>
  </si>
  <si>
    <t>_change</t>
    <phoneticPr fontId="1"/>
  </si>
  <si>
    <t>_emoji</t>
    <phoneticPr fontId="1"/>
  </si>
  <si>
    <t>Research and development</t>
  </si>
  <si>
    <t>Column1</t>
  </si>
  <si>
    <t>tippy_offset_x</t>
    <phoneticPr fontId="1"/>
  </si>
  <si>
    <t>tippy_offset_y</t>
    <phoneticPr fontId="1"/>
  </si>
  <si>
    <t>use_directed</t>
    <phoneticPr fontId="1"/>
  </si>
  <si>
    <t>🌤️</t>
  </si>
  <si>
    <t>💧</t>
  </si>
  <si>
    <t>Cost of sales</t>
  </si>
  <si>
    <t>Gross profit</t>
  </si>
  <si>
    <t>Operating income (loss)</t>
  </si>
  <si>
    <t>Net income (loss)</t>
  </si>
  <si>
    <t>Gray</t>
  </si>
  <si>
    <t>Red</t>
  </si>
  <si>
    <t>Green</t>
  </si>
  <si>
    <t>Darkgreen</t>
  </si>
  <si>
    <t>Revenue from external customers</t>
  </si>
  <si>
    <t>Revenue from related parties</t>
  </si>
  <si>
    <t>Total revenue</t>
  </si>
  <si>
    <t>Selling, general and administrative</t>
  </si>
  <si>
    <t>Income (loss) from equity investments, net</t>
  </si>
  <si>
    <t>Interest income, net</t>
  </si>
  <si>
    <t>Other non-operating income (loss), net</t>
  </si>
  <si>
    <t>Income (loss) before income taxes</t>
  </si>
  <si>
    <t>Income tax benefit (expense)</t>
  </si>
  <si>
    <t>Operating expenses:</t>
  </si>
  <si>
    <t>Total operating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</si>
</sst>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Segoe UI Emoji"/>
      <family val="2"/>
    </font>
    <font>
      <sz val="12"/>
      <color theme="1"/>
      <name val="Segoe UI Symbol"/>
      <family val="2"/>
    </font>
    <font>
      <sz val="12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3" fontId="0" fillId="0" borderId="0" xfId="0" applyNumberFormat="1"/>
    <xf numFmtId="0" fontId="3" fillId="0" borderId="0" xfId="0" applyFont="1"/>
    <xf numFmtId="0" fontId="2" fillId="0" borderId="0" xfId="0" applyFont="1"/>
    <xf numFmtId="176" fontId="0" fillId="0" borderId="0" xfId="1" applyNumberFormat="1" applyFont="1" applyAlignment="1"/>
  </cellXfs>
  <cellStyles count="2">
    <cellStyle name="パーセント" xfId="1" builtinId="5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5"/>
  <sheetViews>
    <sheetView workbookViewId="0"/>
  </sheetViews>
  <sheetFormatPr defaultRowHeight="14.25" x14ac:dyDescent="0.15"/>
  <cols>
    <col min="1" max="1" width="40.25" bestFit="1" customWidth="1"/>
    <col min="2" max="2" width="9.875" bestFit="1" customWidth="1"/>
    <col min="3" max="3" width="6.5" bestFit="1" customWidth="1"/>
    <col min="4" max="4" width="10.625" bestFit="1" customWidth="1"/>
    <col min="5" max="5" width="13.75" bestFit="1" customWidth="1"/>
    <col min="6" max="6" width="9.5" bestFit="1" customWidth="1"/>
    <col min="7" max="7" width="8.75" bestFit="1" customWidth="1"/>
    <col min="8" max="8" width="20.25" bestFit="1" customWidth="1"/>
    <col min="9" max="9" width="22.5" bestFit="1" customWidth="1"/>
    <col min="10" max="10" width="12.375" bestFit="1" customWidth="1"/>
    <col min="12" max="12" width="9.625" bestFit="1" customWidth="1"/>
  </cols>
  <sheetData>
    <row r="1" spans="1:12" x14ac:dyDescent="0.15">
      <c r="A1" t="s">
        <v>29</v>
      </c>
      <c r="B1" t="s">
        <v>30</v>
      </c>
      <c r="C1" t="s">
        <v>31</v>
      </c>
      <c r="D1" t="s">
        <v>10</v>
      </c>
      <c r="E1" t="s">
        <v>28</v>
      </c>
      <c r="F1" t="s">
        <v>11</v>
      </c>
      <c r="G1" t="s">
        <v>8</v>
      </c>
      <c r="H1" t="s">
        <v>9</v>
      </c>
      <c r="I1" t="s">
        <v>7</v>
      </c>
      <c r="J1" t="s">
        <v>6</v>
      </c>
      <c r="K1" t="s">
        <v>19</v>
      </c>
      <c r="L1" t="s">
        <v>5</v>
      </c>
    </row>
    <row r="2" spans="1:12" ht="17.25" x14ac:dyDescent="0.3">
      <c r="A2" t="s">
        <v>47</v>
      </c>
      <c r="B2" s="4">
        <v>52.3</v>
      </c>
      <c r="C2" s="3" t="s">
        <v>37</v>
      </c>
      <c r="D2" t="str">
        <f t="shared" ref="D2:D16" si="0">B2&amp;"%"&amp;C2</f>
        <v>52.3%🌤️</v>
      </c>
      <c r="H2" t="s">
        <v>43</v>
      </c>
      <c r="I2">
        <v>0.9</v>
      </c>
      <c r="J2">
        <v>30</v>
      </c>
    </row>
    <row r="3" spans="1:12" ht="17.25" x14ac:dyDescent="0.3">
      <c r="A3" t="s">
        <v>48</v>
      </c>
      <c r="B3" s="4">
        <v>-11.4</v>
      </c>
      <c r="C3" s="2" t="s">
        <v>38</v>
      </c>
      <c r="D3" t="str">
        <f t="shared" si="0"/>
        <v>-11.4%💧</v>
      </c>
      <c r="H3" t="s">
        <v>43</v>
      </c>
      <c r="I3">
        <v>0.9</v>
      </c>
      <c r="J3">
        <v>30</v>
      </c>
    </row>
    <row r="4" spans="1:12" ht="17.25" x14ac:dyDescent="0.3">
      <c r="A4" t="s">
        <v>49</v>
      </c>
      <c r="B4" s="4">
        <v>39.1</v>
      </c>
      <c r="C4" s="2" t="s">
        <v>37</v>
      </c>
      <c r="D4" t="str">
        <f t="shared" si="0"/>
        <v>39.1%🌤️</v>
      </c>
      <c r="H4" t="s">
        <v>43</v>
      </c>
      <c r="I4">
        <v>0.9</v>
      </c>
      <c r="J4">
        <v>30</v>
      </c>
    </row>
    <row r="5" spans="1:12" ht="17.25" x14ac:dyDescent="0.3">
      <c r="A5" t="s">
        <v>39</v>
      </c>
      <c r="B5" s="4">
        <v>6.5</v>
      </c>
      <c r="C5" s="3" t="s">
        <v>38</v>
      </c>
      <c r="D5" t="str">
        <f t="shared" si="0"/>
        <v>6.5%💧</v>
      </c>
      <c r="H5" t="s">
        <v>44</v>
      </c>
      <c r="I5">
        <v>0.9</v>
      </c>
      <c r="J5">
        <v>30</v>
      </c>
    </row>
    <row r="6" spans="1:12" ht="17.25" x14ac:dyDescent="0.3">
      <c r="A6" t="s">
        <v>40</v>
      </c>
      <c r="B6" s="4">
        <v>40.700000000000003</v>
      </c>
      <c r="C6" s="2" t="s">
        <v>37</v>
      </c>
      <c r="D6" t="str">
        <f t="shared" si="0"/>
        <v>40.7%🌤️</v>
      </c>
      <c r="H6" t="s">
        <v>45</v>
      </c>
      <c r="I6">
        <v>0.9</v>
      </c>
      <c r="J6">
        <v>30</v>
      </c>
    </row>
    <row r="7" spans="1:12" ht="17.25" x14ac:dyDescent="0.3">
      <c r="A7" t="s">
        <v>32</v>
      </c>
      <c r="B7" s="4">
        <v>43.9</v>
      </c>
      <c r="C7" s="2" t="s">
        <v>38</v>
      </c>
      <c r="D7" t="str">
        <f t="shared" si="0"/>
        <v>43.9%💧</v>
      </c>
      <c r="H7" t="s">
        <v>44</v>
      </c>
      <c r="I7">
        <v>0.9</v>
      </c>
      <c r="J7">
        <v>30</v>
      </c>
    </row>
    <row r="8" spans="1:12" ht="17.25" x14ac:dyDescent="0.3">
      <c r="A8" t="s">
        <v>50</v>
      </c>
      <c r="B8" s="4">
        <v>21.9</v>
      </c>
      <c r="C8" s="3" t="s">
        <v>38</v>
      </c>
      <c r="D8" t="str">
        <f t="shared" si="0"/>
        <v>21.9%💧</v>
      </c>
      <c r="H8" t="s">
        <v>44</v>
      </c>
      <c r="I8">
        <v>0.9</v>
      </c>
      <c r="J8">
        <v>30</v>
      </c>
    </row>
    <row r="9" spans="1:12" ht="17.25" x14ac:dyDescent="0.3">
      <c r="A9" t="s">
        <v>41</v>
      </c>
      <c r="B9" s="4">
        <v>64</v>
      </c>
      <c r="C9" s="3" t="s">
        <v>37</v>
      </c>
      <c r="D9" t="str">
        <f t="shared" si="0"/>
        <v>64%🌤️</v>
      </c>
      <c r="H9" t="s">
        <v>45</v>
      </c>
      <c r="I9">
        <v>0.9</v>
      </c>
      <c r="J9">
        <v>30</v>
      </c>
    </row>
    <row r="10" spans="1:12" ht="17.25" x14ac:dyDescent="0.3">
      <c r="A10" t="s">
        <v>51</v>
      </c>
      <c r="B10" s="4">
        <v>-442.9</v>
      </c>
      <c r="C10" s="3" t="s">
        <v>37</v>
      </c>
      <c r="D10" t="str">
        <f t="shared" si="0"/>
        <v>-442.9%🌤️</v>
      </c>
      <c r="H10" t="s">
        <v>45</v>
      </c>
      <c r="I10">
        <v>0.9</v>
      </c>
      <c r="J10">
        <v>30</v>
      </c>
    </row>
    <row r="11" spans="1:12" ht="17.25" x14ac:dyDescent="0.3">
      <c r="A11" t="s">
        <v>52</v>
      </c>
      <c r="B11" s="4">
        <v>33.299999999999997</v>
      </c>
      <c r="C11" s="2" t="s">
        <v>37</v>
      </c>
      <c r="D11" t="str">
        <f t="shared" ref="D11:D15" si="1">B11&amp;"%"&amp;C11</f>
        <v>33.3%🌤️</v>
      </c>
      <c r="H11" t="s">
        <v>45</v>
      </c>
      <c r="I11">
        <v>0.9</v>
      </c>
      <c r="J11">
        <v>30</v>
      </c>
    </row>
    <row r="12" spans="1:12" ht="17.25" x14ac:dyDescent="0.3">
      <c r="A12" t="s">
        <v>53</v>
      </c>
      <c r="B12">
        <v>-700</v>
      </c>
      <c r="C12" s="3" t="s">
        <v>37</v>
      </c>
      <c r="D12" t="str">
        <f t="shared" si="1"/>
        <v>-700%🌤️</v>
      </c>
      <c r="H12" t="s">
        <v>45</v>
      </c>
      <c r="I12">
        <v>0.9</v>
      </c>
      <c r="J12">
        <v>30</v>
      </c>
    </row>
    <row r="13" spans="1:12" x14ac:dyDescent="0.15">
      <c r="A13" t="s">
        <v>54</v>
      </c>
      <c r="B13">
        <v>92.1</v>
      </c>
      <c r="C13" t="s">
        <v>37</v>
      </c>
      <c r="D13" t="str">
        <f t="shared" si="1"/>
        <v>92.1%🌤️</v>
      </c>
      <c r="H13" t="s">
        <v>45</v>
      </c>
      <c r="I13">
        <v>0.9</v>
      </c>
      <c r="J13">
        <v>30</v>
      </c>
    </row>
    <row r="14" spans="1:12" x14ac:dyDescent="0.15">
      <c r="A14" t="s">
        <v>55</v>
      </c>
      <c r="B14">
        <v>-4.5</v>
      </c>
      <c r="C14" t="s">
        <v>37</v>
      </c>
      <c r="D14" t="str">
        <f t="shared" si="1"/>
        <v>-4.5%🌤️</v>
      </c>
      <c r="H14" t="s">
        <v>44</v>
      </c>
      <c r="I14">
        <v>0.9</v>
      </c>
      <c r="J14">
        <v>30</v>
      </c>
    </row>
    <row r="15" spans="1:12" x14ac:dyDescent="0.15">
      <c r="A15" t="s">
        <v>42</v>
      </c>
      <c r="B15">
        <v>112.4</v>
      </c>
      <c r="C15" t="s">
        <v>37</v>
      </c>
      <c r="D15" t="str">
        <f t="shared" si="1"/>
        <v>112.4%🌤️</v>
      </c>
      <c r="H15" t="s">
        <v>46</v>
      </c>
      <c r="I15">
        <v>0.9</v>
      </c>
      <c r="J15">
        <v>30</v>
      </c>
    </row>
  </sheetData>
  <phoneticPr fontId="1"/>
  <pageMargins left="0.7" right="0.7" top="0.75" bottom="0.75" header="0.3" footer="0.3"/>
  <pageSetup paperSize="9" orientation="portrait" r:id="rId1"/>
  <ignoredErrors>
    <ignoredError sqref="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5"/>
  <sheetViews>
    <sheetView tabSelected="1" workbookViewId="0">
      <selection activeCell="G14" sqref="G14"/>
    </sheetView>
  </sheetViews>
  <sheetFormatPr defaultRowHeight="14.25" x14ac:dyDescent="0.15"/>
  <cols>
    <col min="1" max="1" width="38.5" bestFit="1" customWidth="1"/>
    <col min="2" max="2" width="48.125" customWidth="1"/>
    <col min="3" max="3" width="7.875" customWidth="1"/>
    <col min="4" max="4" width="8.375" bestFit="1" customWidth="1"/>
    <col min="5" max="5" width="6.5" bestFit="1" customWidth="1"/>
    <col min="6" max="6" width="9" bestFit="1" customWidth="1"/>
    <col min="7" max="7" width="12.75" bestFit="1" customWidth="1"/>
    <col min="8" max="8" width="10" bestFit="1" customWidth="1"/>
    <col min="9" max="9" width="21.75" bestFit="1" customWidth="1"/>
    <col min="10" max="10" width="22.625" bestFit="1" customWidth="1"/>
    <col min="11" max="11" width="15" bestFit="1" customWidth="1"/>
    <col min="12" max="12" width="15.625" bestFit="1" customWidth="1"/>
    <col min="13" max="13" width="12.375" bestFit="1" customWidth="1"/>
    <col min="14" max="14" width="12.625" bestFit="1" customWidth="1"/>
  </cols>
  <sheetData>
    <row r="1" spans="1:14" x14ac:dyDescent="0.15">
      <c r="A1" t="s">
        <v>1</v>
      </c>
      <c r="B1" t="s">
        <v>2</v>
      </c>
      <c r="C1" t="s">
        <v>3</v>
      </c>
      <c r="D1" t="s">
        <v>29</v>
      </c>
      <c r="E1" t="s">
        <v>0</v>
      </c>
      <c r="F1" t="s">
        <v>19</v>
      </c>
      <c r="G1" t="s">
        <v>12</v>
      </c>
      <c r="H1" t="s">
        <v>8</v>
      </c>
      <c r="I1" t="s">
        <v>13</v>
      </c>
      <c r="J1" t="s">
        <v>14</v>
      </c>
      <c r="K1" t="s">
        <v>16</v>
      </c>
      <c r="L1" t="s">
        <v>17</v>
      </c>
      <c r="M1" t="s">
        <v>6</v>
      </c>
      <c r="N1" t="s">
        <v>18</v>
      </c>
    </row>
    <row r="2" spans="1:14" x14ac:dyDescent="0.15">
      <c r="A2" t="s">
        <v>47</v>
      </c>
      <c r="B2" t="s">
        <v>49</v>
      </c>
      <c r="C2" s="1">
        <v>815</v>
      </c>
      <c r="D2" s="1">
        <f>C2</f>
        <v>815</v>
      </c>
      <c r="G2" t="s">
        <v>43</v>
      </c>
      <c r="H2" t="str">
        <f>G2</f>
        <v>Gray</v>
      </c>
      <c r="I2" t="str">
        <f>G2</f>
        <v>Gray</v>
      </c>
      <c r="J2" t="s">
        <v>15</v>
      </c>
      <c r="K2">
        <v>0.2</v>
      </c>
      <c r="L2">
        <v>1</v>
      </c>
      <c r="M2">
        <v>32</v>
      </c>
    </row>
    <row r="3" spans="1:14" x14ac:dyDescent="0.15">
      <c r="A3" t="s">
        <v>48</v>
      </c>
      <c r="B3" t="s">
        <v>49</v>
      </c>
      <c r="C3" s="1">
        <v>124</v>
      </c>
      <c r="D3" s="1">
        <f t="shared" ref="D3:D15" si="0">C3</f>
        <v>124</v>
      </c>
      <c r="G3" t="s">
        <v>43</v>
      </c>
      <c r="H3" t="str">
        <f t="shared" ref="H3:H11" si="1">G3</f>
        <v>Gray</v>
      </c>
      <c r="I3" t="str">
        <f t="shared" ref="I3:I11" si="2">G3</f>
        <v>Gray</v>
      </c>
      <c r="J3" t="s">
        <v>4</v>
      </c>
      <c r="K3">
        <v>0.2</v>
      </c>
      <c r="L3">
        <v>1</v>
      </c>
      <c r="M3">
        <v>32</v>
      </c>
    </row>
    <row r="4" spans="1:14" x14ac:dyDescent="0.15">
      <c r="A4" t="s">
        <v>49</v>
      </c>
      <c r="B4" t="s">
        <v>39</v>
      </c>
      <c r="C4" s="1">
        <v>33</v>
      </c>
      <c r="D4" s="1">
        <f t="shared" si="0"/>
        <v>33</v>
      </c>
      <c r="G4" t="s">
        <v>44</v>
      </c>
      <c r="H4" t="str">
        <f t="shared" si="1"/>
        <v>Red</v>
      </c>
      <c r="I4" t="str">
        <f t="shared" si="2"/>
        <v>Red</v>
      </c>
      <c r="J4" t="s">
        <v>4</v>
      </c>
      <c r="K4">
        <v>0.2</v>
      </c>
      <c r="L4">
        <v>1</v>
      </c>
      <c r="M4">
        <v>32</v>
      </c>
    </row>
    <row r="5" spans="1:14" x14ac:dyDescent="0.15">
      <c r="A5" t="s">
        <v>49</v>
      </c>
      <c r="B5" t="s">
        <v>40</v>
      </c>
      <c r="C5" s="1">
        <v>906</v>
      </c>
      <c r="D5" s="1">
        <f t="shared" si="0"/>
        <v>906</v>
      </c>
      <c r="G5" t="s">
        <v>45</v>
      </c>
      <c r="H5" t="str">
        <f t="shared" si="1"/>
        <v>Green</v>
      </c>
      <c r="I5" t="str">
        <f t="shared" si="2"/>
        <v>Green</v>
      </c>
      <c r="J5" t="s">
        <v>4</v>
      </c>
      <c r="K5">
        <v>0.2</v>
      </c>
      <c r="L5">
        <v>1</v>
      </c>
      <c r="M5">
        <v>32</v>
      </c>
    </row>
    <row r="6" spans="1:14" x14ac:dyDescent="0.15">
      <c r="A6" t="s">
        <v>40</v>
      </c>
      <c r="B6" t="s">
        <v>32</v>
      </c>
      <c r="C6" s="1">
        <v>485</v>
      </c>
      <c r="D6" s="1">
        <f t="shared" si="0"/>
        <v>485</v>
      </c>
      <c r="G6" t="s">
        <v>44</v>
      </c>
      <c r="H6" t="str">
        <f t="shared" si="1"/>
        <v>Red</v>
      </c>
      <c r="I6" t="str">
        <f t="shared" si="2"/>
        <v>Red</v>
      </c>
      <c r="J6" t="s">
        <v>4</v>
      </c>
      <c r="K6">
        <v>0.2</v>
      </c>
      <c r="L6">
        <v>1</v>
      </c>
      <c r="M6">
        <v>32</v>
      </c>
    </row>
    <row r="7" spans="1:14" x14ac:dyDescent="0.15">
      <c r="A7" t="s">
        <v>40</v>
      </c>
      <c r="B7" t="s">
        <v>50</v>
      </c>
      <c r="C7" s="1">
        <v>239</v>
      </c>
      <c r="D7" s="1">
        <f t="shared" si="0"/>
        <v>239</v>
      </c>
      <c r="G7" t="s">
        <v>44</v>
      </c>
      <c r="H7" t="str">
        <f t="shared" ref="H7" si="3">G7</f>
        <v>Red</v>
      </c>
      <c r="I7" t="str">
        <f t="shared" ref="I7" si="4">G7</f>
        <v>Red</v>
      </c>
      <c r="J7" t="s">
        <v>4</v>
      </c>
      <c r="K7">
        <v>0.2</v>
      </c>
      <c r="L7">
        <v>1</v>
      </c>
      <c r="M7">
        <v>32</v>
      </c>
    </row>
    <row r="8" spans="1:14" x14ac:dyDescent="0.15">
      <c r="A8" t="s">
        <v>40</v>
      </c>
      <c r="B8" t="s">
        <v>41</v>
      </c>
      <c r="C8" s="1">
        <v>182</v>
      </c>
      <c r="D8" s="1">
        <f t="shared" si="0"/>
        <v>182</v>
      </c>
      <c r="G8" t="s">
        <v>45</v>
      </c>
      <c r="H8" t="str">
        <f t="shared" si="1"/>
        <v>Green</v>
      </c>
      <c r="I8" t="str">
        <f t="shared" si="2"/>
        <v>Green</v>
      </c>
      <c r="J8" t="s">
        <v>4</v>
      </c>
      <c r="K8">
        <v>0.2</v>
      </c>
      <c r="L8">
        <v>1</v>
      </c>
      <c r="M8">
        <v>32</v>
      </c>
    </row>
    <row r="9" spans="1:14" x14ac:dyDescent="0.15">
      <c r="A9" t="s">
        <v>51</v>
      </c>
      <c r="B9" t="s">
        <v>41</v>
      </c>
      <c r="C9" s="1">
        <v>24</v>
      </c>
      <c r="D9" s="1">
        <f t="shared" si="0"/>
        <v>24</v>
      </c>
      <c r="G9" t="s">
        <v>45</v>
      </c>
      <c r="H9" t="str">
        <f t="shared" si="1"/>
        <v>Green</v>
      </c>
      <c r="I9" t="str">
        <f t="shared" si="2"/>
        <v>Green</v>
      </c>
      <c r="J9" t="s">
        <v>4</v>
      </c>
      <c r="K9">
        <v>0.2</v>
      </c>
      <c r="L9">
        <v>1</v>
      </c>
      <c r="M9">
        <v>32</v>
      </c>
    </row>
    <row r="10" spans="1:14" x14ac:dyDescent="0.15">
      <c r="A10" t="s">
        <v>52</v>
      </c>
      <c r="B10" t="s">
        <v>41</v>
      </c>
      <c r="C10" s="1">
        <v>32</v>
      </c>
      <c r="D10" s="1">
        <f t="shared" si="0"/>
        <v>32</v>
      </c>
      <c r="G10" t="s">
        <v>45</v>
      </c>
      <c r="H10" t="str">
        <f t="shared" si="1"/>
        <v>Green</v>
      </c>
      <c r="I10" t="str">
        <f t="shared" si="2"/>
        <v>Green</v>
      </c>
      <c r="J10" t="s">
        <v>4</v>
      </c>
      <c r="K10">
        <v>0.2</v>
      </c>
      <c r="L10">
        <v>1</v>
      </c>
      <c r="M10">
        <v>32</v>
      </c>
    </row>
    <row r="11" spans="1:14" x14ac:dyDescent="0.15">
      <c r="A11" t="s">
        <v>53</v>
      </c>
      <c r="B11" t="s">
        <v>41</v>
      </c>
      <c r="C11" s="1">
        <v>6</v>
      </c>
      <c r="D11" s="1">
        <f t="shared" si="0"/>
        <v>6</v>
      </c>
      <c r="G11" t="s">
        <v>45</v>
      </c>
      <c r="H11" t="str">
        <f t="shared" si="1"/>
        <v>Green</v>
      </c>
      <c r="I11" t="str">
        <f t="shared" si="2"/>
        <v>Green</v>
      </c>
      <c r="J11" t="s">
        <v>4</v>
      </c>
      <c r="K11">
        <v>0.2</v>
      </c>
      <c r="L11">
        <v>1</v>
      </c>
      <c r="M11">
        <v>32</v>
      </c>
    </row>
    <row r="12" spans="1:14" x14ac:dyDescent="0.15">
      <c r="A12" t="s">
        <v>41</v>
      </c>
      <c r="B12" t="s">
        <v>54</v>
      </c>
      <c r="C12">
        <v>244</v>
      </c>
      <c r="D12" s="1">
        <f t="shared" si="0"/>
        <v>244</v>
      </c>
      <c r="G12" t="s">
        <v>45</v>
      </c>
      <c r="H12" t="str">
        <f t="shared" ref="H12:H15" si="5">G12</f>
        <v>Green</v>
      </c>
      <c r="I12" t="str">
        <f t="shared" ref="I12:I15" si="6">G12</f>
        <v>Green</v>
      </c>
      <c r="J12" t="s">
        <v>4</v>
      </c>
      <c r="K12">
        <v>0.2</v>
      </c>
      <c r="L12">
        <v>1</v>
      </c>
      <c r="M12">
        <v>32</v>
      </c>
    </row>
    <row r="13" spans="1:14" x14ac:dyDescent="0.15">
      <c r="A13" t="s">
        <v>54</v>
      </c>
      <c r="B13" t="s">
        <v>55</v>
      </c>
      <c r="C13">
        <v>21</v>
      </c>
      <c r="D13" s="1">
        <f t="shared" si="0"/>
        <v>21</v>
      </c>
      <c r="G13" t="s">
        <v>44</v>
      </c>
      <c r="H13" t="str">
        <f t="shared" si="5"/>
        <v>Red</v>
      </c>
      <c r="I13" t="str">
        <f t="shared" si="6"/>
        <v>Red</v>
      </c>
      <c r="J13" t="s">
        <v>4</v>
      </c>
      <c r="K13">
        <v>0.2</v>
      </c>
      <c r="L13">
        <v>1</v>
      </c>
      <c r="M13">
        <v>32</v>
      </c>
    </row>
    <row r="14" spans="1:14" x14ac:dyDescent="0.15">
      <c r="A14" t="s">
        <v>54</v>
      </c>
      <c r="B14" t="s">
        <v>42</v>
      </c>
      <c r="C14">
        <v>223</v>
      </c>
      <c r="D14" s="1">
        <f t="shared" si="0"/>
        <v>223</v>
      </c>
      <c r="G14" t="s">
        <v>46</v>
      </c>
      <c r="H14" t="str">
        <f t="shared" si="5"/>
        <v>Darkgreen</v>
      </c>
      <c r="I14" t="str">
        <f t="shared" si="6"/>
        <v>Darkgreen</v>
      </c>
      <c r="J14" t="s">
        <v>4</v>
      </c>
      <c r="K14">
        <v>0.2</v>
      </c>
      <c r="L14">
        <v>1</v>
      </c>
      <c r="M14">
        <v>32</v>
      </c>
    </row>
    <row r="15" spans="1:14" x14ac:dyDescent="0.15">
      <c r="D15" s="1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B0EE-0CBB-4C30-8CF1-9A722CE14649}">
  <dimension ref="A1:D17"/>
  <sheetViews>
    <sheetView workbookViewId="0">
      <selection activeCell="E21" sqref="E21"/>
    </sheetView>
  </sheetViews>
  <sheetFormatPr defaultRowHeight="14.25" x14ac:dyDescent="0.15"/>
  <cols>
    <col min="1" max="1" width="37.875" bestFit="1" customWidth="1"/>
    <col min="2" max="3" width="6.25" bestFit="1" customWidth="1"/>
    <col min="4" max="4" width="7.375" bestFit="1" customWidth="1"/>
  </cols>
  <sheetData>
    <row r="1" spans="1:4" x14ac:dyDescent="0.15">
      <c r="A1" t="s">
        <v>33</v>
      </c>
      <c r="B1">
        <v>25</v>
      </c>
      <c r="C1">
        <v>24</v>
      </c>
    </row>
    <row r="2" spans="1:4" x14ac:dyDescent="0.15">
      <c r="A2" t="s">
        <v>47</v>
      </c>
      <c r="B2">
        <v>815</v>
      </c>
      <c r="C2">
        <v>535</v>
      </c>
      <c r="D2">
        <v>52.3</v>
      </c>
    </row>
    <row r="3" spans="1:4" x14ac:dyDescent="0.15">
      <c r="A3" t="s">
        <v>48</v>
      </c>
      <c r="B3">
        <v>124</v>
      </c>
      <c r="C3">
        <v>140</v>
      </c>
      <c r="D3">
        <v>-11.4</v>
      </c>
    </row>
    <row r="4" spans="1:4" x14ac:dyDescent="0.15">
      <c r="A4" t="s">
        <v>49</v>
      </c>
      <c r="B4">
        <v>939</v>
      </c>
      <c r="C4">
        <v>675</v>
      </c>
      <c r="D4">
        <v>39.1</v>
      </c>
    </row>
    <row r="5" spans="1:4" x14ac:dyDescent="0.15">
      <c r="A5" t="s">
        <v>39</v>
      </c>
      <c r="B5">
        <v>-33</v>
      </c>
      <c r="C5">
        <v>-31</v>
      </c>
      <c r="D5">
        <v>6.5</v>
      </c>
    </row>
    <row r="6" spans="1:4" x14ac:dyDescent="0.15">
      <c r="A6" t="s">
        <v>40</v>
      </c>
      <c r="B6">
        <v>906</v>
      </c>
      <c r="C6">
        <v>644</v>
      </c>
      <c r="D6">
        <v>40.700000000000003</v>
      </c>
    </row>
    <row r="7" spans="1:4" x14ac:dyDescent="0.15">
      <c r="A7" t="s">
        <v>56</v>
      </c>
      <c r="D7" t="e">
        <v>#DIV/0!</v>
      </c>
    </row>
    <row r="8" spans="1:4" x14ac:dyDescent="0.15">
      <c r="A8" t="s">
        <v>32</v>
      </c>
      <c r="B8">
        <v>-485</v>
      </c>
      <c r="C8">
        <v>-337</v>
      </c>
      <c r="D8">
        <v>43.9</v>
      </c>
    </row>
    <row r="9" spans="1:4" x14ac:dyDescent="0.15">
      <c r="A9" t="s">
        <v>50</v>
      </c>
      <c r="B9">
        <v>-239</v>
      </c>
      <c r="C9">
        <v>-196</v>
      </c>
      <c r="D9">
        <v>21.9</v>
      </c>
    </row>
    <row r="10" spans="1:4" x14ac:dyDescent="0.15">
      <c r="A10" t="s">
        <v>57</v>
      </c>
    </row>
    <row r="11" spans="1:4" x14ac:dyDescent="0.15">
      <c r="A11" t="s">
        <v>41</v>
      </c>
      <c r="B11">
        <v>182</v>
      </c>
      <c r="C11">
        <v>111</v>
      </c>
      <c r="D11">
        <v>64</v>
      </c>
    </row>
    <row r="12" spans="1:4" x14ac:dyDescent="0.15">
      <c r="A12" t="s">
        <v>51</v>
      </c>
      <c r="B12">
        <v>24</v>
      </c>
      <c r="C12">
        <v>-7</v>
      </c>
      <c r="D12">
        <v>-442.9</v>
      </c>
    </row>
    <row r="13" spans="1:4" x14ac:dyDescent="0.15">
      <c r="A13" t="s">
        <v>52</v>
      </c>
      <c r="B13">
        <v>32</v>
      </c>
      <c r="C13">
        <v>24</v>
      </c>
      <c r="D13">
        <v>33.299999999999997</v>
      </c>
    </row>
    <row r="14" spans="1:4" x14ac:dyDescent="0.15">
      <c r="A14" t="s">
        <v>53</v>
      </c>
      <c r="B14">
        <v>6</v>
      </c>
      <c r="C14">
        <v>-1</v>
      </c>
      <c r="D14">
        <v>-700</v>
      </c>
    </row>
    <row r="15" spans="1:4" x14ac:dyDescent="0.15">
      <c r="A15" t="s">
        <v>54</v>
      </c>
      <c r="B15">
        <v>244</v>
      </c>
      <c r="C15">
        <v>127</v>
      </c>
      <c r="D15">
        <v>92.1</v>
      </c>
    </row>
    <row r="16" spans="1:4" x14ac:dyDescent="0.15">
      <c r="A16" t="s">
        <v>55</v>
      </c>
      <c r="B16">
        <v>-21</v>
      </c>
      <c r="C16">
        <v>-22</v>
      </c>
      <c r="D16">
        <v>-4.5</v>
      </c>
    </row>
    <row r="17" spans="1:4" x14ac:dyDescent="0.15">
      <c r="A17" t="s">
        <v>42</v>
      </c>
      <c r="B17">
        <v>223</v>
      </c>
      <c r="C17">
        <v>105</v>
      </c>
      <c r="D17">
        <v>112.4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"/>
  <sheetViews>
    <sheetView workbookViewId="0"/>
  </sheetViews>
  <sheetFormatPr defaultRowHeight="14.25" x14ac:dyDescent="0.15"/>
  <cols>
    <col min="1" max="1" width="14" bestFit="1" customWidth="1"/>
    <col min="2" max="2" width="13.875" bestFit="1" customWidth="1"/>
    <col min="3" max="3" width="9.25" bestFit="1" customWidth="1"/>
    <col min="4" max="4" width="9.125" bestFit="1" customWidth="1"/>
    <col min="5" max="5" width="15" bestFit="1" customWidth="1"/>
    <col min="6" max="6" width="14.75" bestFit="1" customWidth="1"/>
    <col min="7" max="7" width="12.125" bestFit="1" customWidth="1"/>
    <col min="8" max="8" width="12.875" bestFit="1" customWidth="1"/>
    <col min="9" max="9" width="13" bestFit="1" customWidth="1"/>
  </cols>
  <sheetData>
    <row r="1" spans="1:9" x14ac:dyDescent="0.15">
      <c r="A1" t="s">
        <v>27</v>
      </c>
      <c r="B1" t="s">
        <v>26</v>
      </c>
      <c r="C1" t="s">
        <v>20</v>
      </c>
      <c r="D1" t="s">
        <v>21</v>
      </c>
      <c r="E1" t="s">
        <v>23</v>
      </c>
      <c r="F1" t="s">
        <v>22</v>
      </c>
      <c r="G1" t="s">
        <v>36</v>
      </c>
      <c r="H1" t="s">
        <v>34</v>
      </c>
      <c r="I1" t="s">
        <v>35</v>
      </c>
    </row>
    <row r="2" spans="1:9" x14ac:dyDescent="0.15">
      <c r="A2" t="s">
        <v>24</v>
      </c>
      <c r="C2" t="s">
        <v>25</v>
      </c>
      <c r="E2" t="b">
        <v>1</v>
      </c>
      <c r="F2" t="b">
        <v>1</v>
      </c>
      <c r="G2" t="b">
        <v>1</v>
      </c>
      <c r="H2">
        <v>0</v>
      </c>
      <c r="I2">
        <v>15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CF7D2F-2A27-4C3C-9922-3528D881A5EA}">
  <ds:schemaRefs>
    <ds:schemaRef ds:uri="http://schemas.microsoft.com/office/2006/documentManagement/types"/>
    <ds:schemaRef ds:uri="e77deb97-a418-4714-85c7-85516ffd9823"/>
    <ds:schemaRef ds:uri="http://schemas.microsoft.com/office/2006/metadata/properties"/>
    <ds:schemaRef ds:uri="d9dc673b-9e34-4001-b69a-8484e8c1b815"/>
    <ds:schemaRef ds:uri="http://purl.org/dc/terms/"/>
    <ds:schemaRef ds:uri="http://purl.org/dc/elements/1.1/"/>
    <ds:schemaRef ds:uri="d1704697-0a90-4c71-a4aa-af07d1d3fdc9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9846024-0BEF-4FF2-A886-FC34D7F5E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node</vt:lpstr>
      <vt:lpstr>edge</vt:lpstr>
      <vt:lpstr>Table003 (Page 5)</vt:lpstr>
      <vt:lpstr>option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2024-08-06T15:35:31Z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