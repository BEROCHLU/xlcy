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13_ncr:1_{C6063211-6293-4EB0-AE92-CDD276D9238C}" xr6:coauthVersionLast="47" xr6:coauthVersionMax="47" xr10:uidLastSave="{00000000-0000-0000-0000-000000000000}"/>
  <bookViews>
    <workbookView xWindow="5460" yWindow="3270" windowWidth="21600" windowHeight="11295" tabRatio="587" activeTab="3" xr2:uid="{00000000-000D-0000-FFFF-FFFF00000000}"/>
  </bookViews>
  <sheets>
    <sheet name="node" sheetId="1" r:id="rId1"/>
    <sheet name="edge" sheetId="2" r:id="rId2"/>
    <sheet name="Table025 (Page 20)" sheetId="18" r:id="rId3"/>
    <sheet name="option" sheetId="13" r:id="rId4"/>
    <sheet name="Page005" sheetId="16" r:id="rId5"/>
  </sheets>
  <definedNames>
    <definedName name="_xlnm._FilterDatabase" localSheetId="1" hidden="1">edge!$A$1:$B$5</definedName>
    <definedName name="_xlnm._FilterDatabase" localSheetId="0" hidden="1">node!$A$1:$J$3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D13" i="2"/>
  <c r="D12" i="2"/>
  <c r="D9" i="2"/>
  <c r="D10" i="2"/>
  <c r="D11" i="2"/>
  <c r="D8" i="2"/>
  <c r="D2" i="2"/>
  <c r="D3" i="2"/>
  <c r="D4" i="2"/>
  <c r="D5" i="2"/>
  <c r="D6" i="2"/>
  <c r="D7" i="2"/>
  <c r="D2" i="18"/>
  <c r="D3" i="18"/>
  <c r="D4" i="18"/>
  <c r="D6" i="18"/>
  <c r="D7" i="18"/>
  <c r="D8" i="18"/>
  <c r="D9" i="18"/>
  <c r="D10" i="18"/>
  <c r="D11" i="18"/>
  <c r="D13" i="18"/>
  <c r="D14" i="18"/>
  <c r="D15" i="18"/>
  <c r="D16" i="18"/>
  <c r="D17" i="18"/>
  <c r="D18" i="18"/>
  <c r="D19" i="18"/>
  <c r="D2" i="16"/>
  <c r="D3" i="16"/>
  <c r="D4" i="16"/>
  <c r="D6" i="16"/>
  <c r="D7" i="16"/>
  <c r="D8" i="16"/>
  <c r="D9" i="16"/>
  <c r="D10" i="16"/>
  <c r="D11" i="16"/>
  <c r="D13" i="16"/>
  <c r="D14" i="16"/>
  <c r="D15" i="16"/>
  <c r="D16" i="16"/>
  <c r="D18" i="16"/>
  <c r="D19" i="16"/>
  <c r="D20" i="16"/>
  <c r="D21" i="16"/>
  <c r="H14" i="2" l="1"/>
  <c r="I14" i="2"/>
  <c r="D15" i="1"/>
  <c r="H12" i="2"/>
  <c r="I12" i="2"/>
  <c r="H13" i="2"/>
  <c r="I13" i="2"/>
  <c r="D12" i="1"/>
  <c r="D13" i="1"/>
  <c r="D14" i="1"/>
  <c r="H11" i="2" l="1"/>
  <c r="I11" i="2"/>
  <c r="H10" i="2"/>
  <c r="I10" i="2"/>
  <c r="D10" i="1"/>
  <c r="D11" i="1"/>
  <c r="H8" i="2"/>
  <c r="I8" i="2"/>
  <c r="H9" i="2"/>
  <c r="I9" i="2"/>
  <c r="D2" i="1"/>
  <c r="D3" i="1"/>
  <c r="D4" i="1"/>
  <c r="D5" i="1"/>
  <c r="D6" i="1"/>
  <c r="D7" i="1"/>
  <c r="D8" i="1"/>
  <c r="D9" i="1"/>
  <c r="H2" i="2" l="1"/>
  <c r="I2" i="2"/>
  <c r="H3" i="2"/>
  <c r="I3" i="2"/>
  <c r="H4" i="2"/>
  <c r="I4" i="2"/>
  <c r="H5" i="2"/>
  <c r="I5" i="2"/>
  <c r="H6" i="2"/>
  <c r="I6" i="2"/>
  <c r="H7" i="2"/>
  <c r="I7" i="2"/>
</calcChain>
</file>

<file path=xl/sharedStrings.xml><?xml version="1.0" encoding="utf-8"?>
<sst xmlns="http://schemas.openxmlformats.org/spreadsheetml/2006/main" count="168" uniqueCount="76">
  <si>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</si>
  <si>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</si>
  <si>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</si>
  <si>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</si>
  <si>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</si>
  <si>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</si>
  <si>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Green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</si>
  <si>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</si>
  <si>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</si>
  <si>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</si>
  <si>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</si>
  <si>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</si>
  <si>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</si>
  <si>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</si>
  <si>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</si>
  <si>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</si>
  <si>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</si>
  <si>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</si>
  <si>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</si>
  <si>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</si>
  <si>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</si>
  <si>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</si>
  <si>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</si>
  <si>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</si>
  <si>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</si>
  <si>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</si>
  <si>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</si>
  <si>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</si>
  <si>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</si>
  <si>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</si>
  <si>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</si>
  <si>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</si>
  <si>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Column1</t>
  </si>
  <si>
    <t>Operating income</t>
  </si>
  <si>
    <t>Sales and marketing</t>
  </si>
  <si>
    <t>General and administrative</t>
  </si>
  <si>
    <t>Net product sales</t>
  </si>
  <si>
    <t>Net service sales</t>
  </si>
  <si>
    <t>Total net sales</t>
  </si>
  <si>
    <t>Cost of sales</t>
  </si>
  <si>
    <t>Fulfillment</t>
  </si>
  <si>
    <t>Other operating expense (income), net</t>
  </si>
  <si>
    <t>Interest income</t>
  </si>
  <si>
    <t>Interest expense</t>
  </si>
  <si>
    <t>Equity-method investment activity, net of tax</t>
  </si>
  <si>
    <t>tippy_offset_y</t>
    <phoneticPr fontId="1"/>
  </si>
  <si>
    <t>tippy_offset_x</t>
    <phoneticPr fontId="1"/>
  </si>
  <si>
    <t>use_directed</t>
    <phoneticPr fontId="1"/>
  </si>
  <si>
    <t>Technology and infrastructure</t>
  </si>
  <si>
    <t>🌤️</t>
  </si>
  <si>
    <t>💧</t>
  </si>
  <si>
    <t>Operating expenses:</t>
  </si>
  <si>
    <t>Income before income taxes</t>
  </si>
  <si>
    <t>Net income</t>
  </si>
  <si>
    <t>24</t>
  </si>
  <si>
    <t>-</t>
    <phoneticPr fontId="1"/>
  </si>
  <si>
    <t>25</t>
    <phoneticPr fontId="1"/>
  </si>
  <si>
    <t>Other income (expense), net</t>
    <phoneticPr fontId="1"/>
  </si>
  <si>
    <t>Provision for income taxes</t>
    <phoneticPr fontId="1"/>
  </si>
  <si>
    <t>triangle</t>
    <phoneticPr fontId="1"/>
  </si>
  <si>
    <t>Column3</t>
  </si>
  <si>
    <t>Column5</t>
  </si>
  <si>
    <t>Total revenue</t>
  </si>
  <si>
    <t>Transaction expense</t>
  </si>
  <si>
    <t>Technology and development</t>
  </si>
  <si>
    <t>Losses (gains) on crypto assets held for operations, net</t>
  </si>
  <si>
    <t>Other operating (income) expense, net</t>
  </si>
  <si>
    <t>Losses (gains) on crypto assets held for investment, net</t>
  </si>
  <si>
    <t>Other expense (income), net</t>
  </si>
  <si>
    <t>(Loss) income before income taxes</t>
  </si>
  <si>
    <t>(Benefit from) provision for income taxes</t>
  </si>
  <si>
    <t>Net (loss) income</t>
  </si>
  <si>
    <t>Column6</t>
  </si>
  <si>
    <t>Revenue</t>
    <phoneticPr fontId="1"/>
  </si>
  <si>
    <t>(Benefit from) provision for income taxes</t>
    <phoneticPr fontId="1"/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</si>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</sst>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sz val="12"/>
      <color rgb="FF00B05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3" fontId="0" fillId="0" borderId="0" xfId="0" applyNumberFormat="1"/>
    <xf numFmtId="0" fontId="2" fillId="0" borderId="0" xfId="0" applyFont="1"/>
    <xf numFmtId="176" fontId="0" fillId="0" borderId="0" xfId="1" applyNumberFormat="1" applyFont="1" applyAlignme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3" fontId="6" fillId="0" borderId="0" xfId="0" applyNumberFormat="1" applyFont="1"/>
  </cellXfs>
  <cellStyles count="2">
    <cellStyle name="パーセント" xfId="1" builtinId="5"/>
    <cellStyle name="標準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1EC7D-FED0-4BC9-B18E-1390F6FF1CF9}" name="Table025__Page_20" displayName="Table025__Page_20" ref="A1:D19" totalsRowShown="0">
  <autoFilter ref="A1:D19" xr:uid="{EB41EC7D-FED0-4BC9-B18E-1390F6FF1CF9}"/>
  <tableColumns count="4">
    <tableColumn id="1" xr3:uid="{D29E3413-C4F0-417E-9FC0-4F5E64BC8A9A}" name="Column1" dataDxfId="4"/>
    <tableColumn id="2" xr3:uid="{CEA855DF-6E58-470E-B3D9-A4413C23F71A}" name="Column3"/>
    <tableColumn id="3" xr3:uid="{CEB07780-BD18-48B8-B6D9-FBE076052C82}" name="Column5"/>
    <tableColumn id="4" xr3:uid="{C85E37DD-A4F8-4847-ADCB-1369FDAABFED}" name="Column6" dataDxfId="3">
      <calculatedColumnFormula>ROUND((B2-C2)/C2*100,1)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09E5B-FCB6-4E52-BE9E-4C52AF7976B6}" name="Page005" displayName="Page005" ref="A1:D21" totalsRowShown="0">
  <autoFilter ref="A1:D21" xr:uid="{4F009E5B-FCB6-4E52-BE9E-4C52AF7976B6}"/>
  <tableColumns count="4">
    <tableColumn id="1" xr3:uid="{7EB5F1F3-71E5-4BD8-A586-7C6A3C2D7545}" name="Column1" dataDxfId="2"/>
    <tableColumn id="2" xr3:uid="{73CF1654-93E5-41D1-A08A-BBB05B183E49}" name="24" dataDxfId="1"/>
    <tableColumn id="3" xr3:uid="{4DE7BCB8-9318-4209-A31B-F9E395F4D287}" name="25"/>
    <tableColumn id="4" xr3:uid="{152144B6-1CC3-412A-80B0-069369954142}" name="-" dataDxfId="0">
      <calculatedColumnFormula>ROUND((C2-B2)/B2*100,1)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"/>
  <sheetViews>
    <sheetView workbookViewId="0">
      <selection activeCell="H8" sqref="H8"/>
    </sheetView>
  </sheetViews>
  <sheetFormatPr defaultRowHeight="14.25" x14ac:dyDescent="0.15"/>
  <cols>
    <col min="1" max="1" width="48.25" customWidth="1"/>
    <col min="2" max="2" width="9.875" bestFit="1" customWidth="1"/>
    <col min="3" max="3" width="6.5" bestFit="1" customWidth="1"/>
    <col min="4" max="4" width="18.375" bestFit="1" customWidth="1"/>
    <col min="5" max="5" width="16.2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29</v>
      </c>
      <c r="B1" t="s">
        <v>30</v>
      </c>
      <c r="C1" t="s">
        <v>31</v>
      </c>
      <c r="D1" t="s">
        <v>12</v>
      </c>
      <c r="E1" t="s">
        <v>28</v>
      </c>
      <c r="F1" t="s">
        <v>13</v>
      </c>
      <c r="G1" t="s">
        <v>10</v>
      </c>
      <c r="H1" t="s">
        <v>11</v>
      </c>
      <c r="I1" t="s">
        <v>9</v>
      </c>
      <c r="J1" t="s">
        <v>8</v>
      </c>
      <c r="K1" t="s">
        <v>20</v>
      </c>
      <c r="L1" t="s">
        <v>7</v>
      </c>
    </row>
    <row r="2" spans="1:12" ht="17.25" x14ac:dyDescent="0.3">
      <c r="A2" t="s">
        <v>62</v>
      </c>
      <c r="B2" s="3">
        <v>-21.6</v>
      </c>
      <c r="C2" s="2" t="s">
        <v>50</v>
      </c>
      <c r="D2" t="str">
        <f t="shared" ref="D2:D15" si="0">B2&amp;"%"&amp;C2</f>
        <v>-21.6%💧</v>
      </c>
      <c r="H2" t="s">
        <v>4</v>
      </c>
      <c r="I2">
        <v>0.9</v>
      </c>
      <c r="J2">
        <v>30</v>
      </c>
    </row>
    <row r="3" spans="1:12" ht="17.25" x14ac:dyDescent="0.3">
      <c r="A3" t="s">
        <v>63</v>
      </c>
      <c r="B3" s="3">
        <v>-31</v>
      </c>
      <c r="C3" s="2" t="s">
        <v>49</v>
      </c>
      <c r="D3" t="str">
        <f t="shared" si="0"/>
        <v>-31%🌤️</v>
      </c>
      <c r="H3" t="s">
        <v>5</v>
      </c>
      <c r="I3">
        <v>0.9</v>
      </c>
      <c r="J3">
        <v>30</v>
      </c>
    </row>
    <row r="4" spans="1:12" ht="17.25" x14ac:dyDescent="0.3">
      <c r="A4" t="s">
        <v>64</v>
      </c>
      <c r="B4" s="3">
        <v>34.9</v>
      </c>
      <c r="C4" s="2" t="s">
        <v>50</v>
      </c>
      <c r="D4" t="str">
        <f t="shared" si="0"/>
        <v>34.9%💧</v>
      </c>
      <c r="H4" t="s">
        <v>5</v>
      </c>
      <c r="I4">
        <v>0.9</v>
      </c>
      <c r="J4">
        <v>30</v>
      </c>
    </row>
    <row r="5" spans="1:12" ht="17.25" x14ac:dyDescent="0.3">
      <c r="A5" t="s">
        <v>34</v>
      </c>
      <c r="B5" s="3">
        <v>39.4</v>
      </c>
      <c r="C5" s="2" t="s">
        <v>50</v>
      </c>
      <c r="D5" t="str">
        <f t="shared" si="0"/>
        <v>39.4%💧</v>
      </c>
      <c r="H5" t="s">
        <v>5</v>
      </c>
      <c r="I5">
        <v>0.9</v>
      </c>
      <c r="J5">
        <v>30</v>
      </c>
    </row>
    <row r="6" spans="1:12" ht="17.25" x14ac:dyDescent="0.3">
      <c r="A6" t="s">
        <v>35</v>
      </c>
      <c r="B6" s="3">
        <v>25</v>
      </c>
      <c r="C6" s="2" t="s">
        <v>50</v>
      </c>
      <c r="D6" t="str">
        <f t="shared" si="0"/>
        <v>25%💧</v>
      </c>
      <c r="H6" t="s">
        <v>5</v>
      </c>
      <c r="I6">
        <v>0.9</v>
      </c>
      <c r="J6">
        <v>30</v>
      </c>
    </row>
    <row r="7" spans="1:12" ht="17.25" x14ac:dyDescent="0.3">
      <c r="A7" t="s">
        <v>65</v>
      </c>
      <c r="B7" s="3">
        <v>-289.5</v>
      </c>
      <c r="C7" s="2"/>
      <c r="D7" t="str">
        <f t="shared" si="0"/>
        <v>-289.5%</v>
      </c>
      <c r="H7" t="s">
        <v>5</v>
      </c>
      <c r="I7">
        <v>0.9</v>
      </c>
      <c r="J7">
        <v>30</v>
      </c>
    </row>
    <row r="8" spans="1:12" ht="17.25" x14ac:dyDescent="0.3">
      <c r="A8" t="s">
        <v>66</v>
      </c>
      <c r="B8" s="3">
        <v>-64.099999999999994</v>
      </c>
      <c r="C8" s="2"/>
      <c r="D8" t="str">
        <f t="shared" si="0"/>
        <v>-64.1%</v>
      </c>
      <c r="H8" t="s">
        <v>6</v>
      </c>
      <c r="I8">
        <v>0.9</v>
      </c>
      <c r="J8">
        <v>30</v>
      </c>
    </row>
    <row r="9" spans="1:12" ht="17.25" x14ac:dyDescent="0.3">
      <c r="A9" t="s">
        <v>33</v>
      </c>
      <c r="B9" s="3">
        <v>-73.5</v>
      </c>
      <c r="C9" s="2" t="s">
        <v>50</v>
      </c>
      <c r="D9" t="str">
        <f t="shared" si="0"/>
        <v>-73.5%💧</v>
      </c>
      <c r="H9" t="s">
        <v>6</v>
      </c>
      <c r="I9">
        <v>0.9</v>
      </c>
      <c r="J9">
        <v>30</v>
      </c>
    </row>
    <row r="10" spans="1:12" ht="17.25" x14ac:dyDescent="0.3">
      <c r="A10" t="s">
        <v>43</v>
      </c>
      <c r="B10">
        <v>10</v>
      </c>
      <c r="C10" s="2" t="s">
        <v>50</v>
      </c>
      <c r="D10" t="str">
        <f t="shared" si="0"/>
        <v>10%💧</v>
      </c>
      <c r="H10" t="s">
        <v>5</v>
      </c>
      <c r="I10">
        <v>0.9</v>
      </c>
      <c r="J10">
        <v>30</v>
      </c>
    </row>
    <row r="11" spans="1:12" ht="17.25" x14ac:dyDescent="0.3">
      <c r="A11" t="s">
        <v>67</v>
      </c>
      <c r="B11">
        <v>-250.8</v>
      </c>
      <c r="C11" s="2" t="s">
        <v>50</v>
      </c>
      <c r="D11" t="str">
        <f t="shared" si="0"/>
        <v>-250.8%💧</v>
      </c>
      <c r="H11" t="s">
        <v>5</v>
      </c>
      <c r="I11">
        <v>0.9</v>
      </c>
      <c r="J11">
        <v>30</v>
      </c>
    </row>
    <row r="12" spans="1:12" ht="17.25" x14ac:dyDescent="0.3">
      <c r="A12" t="s">
        <v>68</v>
      </c>
      <c r="B12">
        <v>-5931</v>
      </c>
      <c r="C12" s="2" t="s">
        <v>50</v>
      </c>
      <c r="D12" t="str">
        <f t="shared" si="0"/>
        <v>-5931%💧</v>
      </c>
      <c r="H12" t="s">
        <v>5</v>
      </c>
      <c r="I12">
        <v>0.9</v>
      </c>
      <c r="J12">
        <v>30</v>
      </c>
    </row>
    <row r="13" spans="1:12" ht="17.25" x14ac:dyDescent="0.3">
      <c r="A13" t="s">
        <v>69</v>
      </c>
      <c r="B13">
        <v>-159.19999999999999</v>
      </c>
      <c r="C13" s="2" t="s">
        <v>50</v>
      </c>
      <c r="D13" t="str">
        <f t="shared" si="0"/>
        <v>-159.2%💧</v>
      </c>
      <c r="H13" t="s">
        <v>5</v>
      </c>
      <c r="I13">
        <v>0.9</v>
      </c>
      <c r="J13">
        <v>30</v>
      </c>
    </row>
    <row r="14" spans="1:12" ht="17.25" x14ac:dyDescent="0.3">
      <c r="A14" t="s">
        <v>70</v>
      </c>
      <c r="B14">
        <v>-206.7</v>
      </c>
      <c r="C14" s="2"/>
      <c r="D14" t="str">
        <f t="shared" si="0"/>
        <v>-206.7%</v>
      </c>
      <c r="H14" t="s">
        <v>6</v>
      </c>
      <c r="I14">
        <v>0.9</v>
      </c>
      <c r="J14">
        <v>30</v>
      </c>
    </row>
    <row r="15" spans="1:12" ht="17.25" x14ac:dyDescent="0.3">
      <c r="A15" t="s">
        <v>71</v>
      </c>
      <c r="B15">
        <v>-151.6</v>
      </c>
      <c r="C15" s="2" t="s">
        <v>50</v>
      </c>
      <c r="D15" t="str">
        <f t="shared" si="0"/>
        <v>-151.6%💧</v>
      </c>
      <c r="H15" t="s">
        <v>5</v>
      </c>
      <c r="I15">
        <v>0.9</v>
      </c>
      <c r="J15">
        <v>30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6"/>
  <sheetViews>
    <sheetView workbookViewId="0">
      <selection activeCell="A15" sqref="A15"/>
    </sheetView>
  </sheetViews>
  <sheetFormatPr defaultRowHeight="14.25" x14ac:dyDescent="0.15"/>
  <cols>
    <col min="1" max="1" width="35.875" customWidth="1"/>
    <col min="2" max="2" width="49.25" customWidth="1"/>
    <col min="3" max="4" width="9.2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29</v>
      </c>
      <c r="E1" t="s">
        <v>0</v>
      </c>
      <c r="F1" t="s">
        <v>20</v>
      </c>
      <c r="G1" t="s">
        <v>14</v>
      </c>
      <c r="H1" t="s">
        <v>10</v>
      </c>
      <c r="I1" t="s">
        <v>15</v>
      </c>
      <c r="J1" t="s">
        <v>16</v>
      </c>
      <c r="K1" t="s">
        <v>17</v>
      </c>
      <c r="L1" t="s">
        <v>18</v>
      </c>
      <c r="M1" t="s">
        <v>8</v>
      </c>
      <c r="N1" t="s">
        <v>19</v>
      </c>
    </row>
    <row r="2" spans="1:14" x14ac:dyDescent="0.15">
      <c r="A2" t="s">
        <v>62</v>
      </c>
      <c r="B2" t="s">
        <v>63</v>
      </c>
      <c r="C2" s="5">
        <v>218625</v>
      </c>
      <c r="D2" s="5">
        <f t="shared" ref="D2:D14" si="0">C2</f>
        <v>218625</v>
      </c>
      <c r="G2" t="s">
        <v>5</v>
      </c>
      <c r="H2" t="str">
        <f t="shared" ref="H2:H9" si="1">G2</f>
        <v>Red</v>
      </c>
      <c r="I2" t="str">
        <f t="shared" ref="I2:I9" si="2">G2</f>
        <v>Red</v>
      </c>
      <c r="J2" t="s">
        <v>59</v>
      </c>
      <c r="K2">
        <v>0.2</v>
      </c>
      <c r="L2">
        <v>1</v>
      </c>
      <c r="M2">
        <v>32</v>
      </c>
    </row>
    <row r="3" spans="1:14" x14ac:dyDescent="0.15">
      <c r="A3" t="s">
        <v>62</v>
      </c>
      <c r="B3" t="s">
        <v>64</v>
      </c>
      <c r="C3" s="5">
        <v>497330</v>
      </c>
      <c r="D3" s="5">
        <f t="shared" si="0"/>
        <v>497330</v>
      </c>
      <c r="G3" t="s">
        <v>5</v>
      </c>
      <c r="H3" t="str">
        <f t="shared" si="1"/>
        <v>Red</v>
      </c>
      <c r="I3" t="str">
        <f t="shared" si="2"/>
        <v>Red</v>
      </c>
      <c r="J3" t="s">
        <v>59</v>
      </c>
      <c r="K3">
        <v>0.2</v>
      </c>
      <c r="L3">
        <v>1</v>
      </c>
      <c r="M3">
        <v>32</v>
      </c>
    </row>
    <row r="4" spans="1:14" x14ac:dyDescent="0.15">
      <c r="A4" t="s">
        <v>62</v>
      </c>
      <c r="B4" t="s">
        <v>34</v>
      </c>
      <c r="C4" s="5">
        <v>314777</v>
      </c>
      <c r="D4" s="5">
        <f t="shared" si="0"/>
        <v>314777</v>
      </c>
      <c r="G4" t="s">
        <v>5</v>
      </c>
      <c r="H4" t="str">
        <f t="shared" si="1"/>
        <v>Red</v>
      </c>
      <c r="I4" t="str">
        <f t="shared" si="2"/>
        <v>Red</v>
      </c>
      <c r="J4" t="s">
        <v>59</v>
      </c>
      <c r="K4">
        <v>0.2</v>
      </c>
      <c r="L4">
        <v>1</v>
      </c>
      <c r="M4">
        <v>32</v>
      </c>
    </row>
    <row r="5" spans="1:14" x14ac:dyDescent="0.15">
      <c r="A5" t="s">
        <v>62</v>
      </c>
      <c r="B5" t="s">
        <v>35</v>
      </c>
      <c r="C5" s="5">
        <v>453143</v>
      </c>
      <c r="D5" s="5">
        <f t="shared" si="0"/>
        <v>453143</v>
      </c>
      <c r="G5" t="s">
        <v>5</v>
      </c>
      <c r="H5" t="str">
        <f t="shared" si="1"/>
        <v>Red</v>
      </c>
      <c r="I5" t="str">
        <f t="shared" si="2"/>
        <v>Red</v>
      </c>
      <c r="J5" t="s">
        <v>59</v>
      </c>
      <c r="K5">
        <v>0.2</v>
      </c>
      <c r="L5">
        <v>1</v>
      </c>
      <c r="M5">
        <v>32</v>
      </c>
    </row>
    <row r="6" spans="1:14" x14ac:dyDescent="0.15">
      <c r="A6" t="s">
        <v>62</v>
      </c>
      <c r="B6" t="s">
        <v>65</v>
      </c>
      <c r="C6" s="5">
        <v>30781</v>
      </c>
      <c r="D6" s="5">
        <f t="shared" si="0"/>
        <v>30781</v>
      </c>
      <c r="G6" t="s">
        <v>5</v>
      </c>
      <c r="H6" t="str">
        <f t="shared" si="1"/>
        <v>Red</v>
      </c>
      <c r="I6" t="str">
        <f t="shared" si="2"/>
        <v>Red</v>
      </c>
      <c r="J6" t="s">
        <v>59</v>
      </c>
      <c r="K6">
        <v>0.2</v>
      </c>
      <c r="L6">
        <v>1</v>
      </c>
      <c r="M6">
        <v>32</v>
      </c>
    </row>
    <row r="7" spans="1:14" x14ac:dyDescent="0.15">
      <c r="A7" t="s">
        <v>66</v>
      </c>
      <c r="B7" t="s">
        <v>33</v>
      </c>
      <c r="C7" s="7">
        <v>7280</v>
      </c>
      <c r="D7" s="7">
        <f t="shared" si="0"/>
        <v>7280</v>
      </c>
      <c r="G7" t="s">
        <v>75</v>
      </c>
      <c r="H7" t="str">
        <f t="shared" si="1"/>
        <v>Green</v>
      </c>
      <c r="I7" t="str">
        <f t="shared" si="2"/>
        <v>Green</v>
      </c>
      <c r="J7" t="s">
        <v>59</v>
      </c>
      <c r="K7">
        <v>0.2</v>
      </c>
      <c r="L7">
        <v>1</v>
      </c>
      <c r="M7">
        <v>32</v>
      </c>
    </row>
    <row r="8" spans="1:14" x14ac:dyDescent="0.15">
      <c r="A8" t="s">
        <v>62</v>
      </c>
      <c r="B8" t="s">
        <v>33</v>
      </c>
      <c r="C8" s="5">
        <v>273753</v>
      </c>
      <c r="D8" s="5">
        <f t="shared" si="0"/>
        <v>273753</v>
      </c>
      <c r="G8" t="s">
        <v>75</v>
      </c>
      <c r="H8" t="str">
        <f t="shared" si="1"/>
        <v>Green</v>
      </c>
      <c r="I8" t="str">
        <f t="shared" si="2"/>
        <v>Green</v>
      </c>
      <c r="J8" t="s">
        <v>59</v>
      </c>
      <c r="K8">
        <v>0.2</v>
      </c>
      <c r="L8">
        <v>1</v>
      </c>
      <c r="M8">
        <v>32</v>
      </c>
    </row>
    <row r="9" spans="1:14" x14ac:dyDescent="0.15">
      <c r="A9" t="s">
        <v>33</v>
      </c>
      <c r="B9" t="s">
        <v>43</v>
      </c>
      <c r="C9" s="5">
        <v>22593</v>
      </c>
      <c r="D9" s="5">
        <f t="shared" si="0"/>
        <v>22593</v>
      </c>
      <c r="G9" t="s">
        <v>5</v>
      </c>
      <c r="H9" t="str">
        <f t="shared" si="1"/>
        <v>Red</v>
      </c>
      <c r="I9" t="str">
        <f t="shared" si="2"/>
        <v>Red</v>
      </c>
      <c r="J9" t="s">
        <v>59</v>
      </c>
      <c r="K9">
        <v>0.2</v>
      </c>
      <c r="L9">
        <v>1</v>
      </c>
      <c r="M9">
        <v>32</v>
      </c>
    </row>
    <row r="10" spans="1:14" x14ac:dyDescent="0.15">
      <c r="A10" t="s">
        <v>33</v>
      </c>
      <c r="B10" t="s">
        <v>67</v>
      </c>
      <c r="C10" s="5">
        <v>718162</v>
      </c>
      <c r="D10" s="5">
        <f t="shared" si="0"/>
        <v>718162</v>
      </c>
      <c r="G10" t="s">
        <v>5</v>
      </c>
      <c r="H10" t="str">
        <f>G10</f>
        <v>Red</v>
      </c>
      <c r="I10" t="str">
        <f>G10</f>
        <v>Red</v>
      </c>
      <c r="J10" t="s">
        <v>59</v>
      </c>
      <c r="K10">
        <v>0.2</v>
      </c>
      <c r="L10">
        <v>1</v>
      </c>
      <c r="M10">
        <v>32</v>
      </c>
    </row>
    <row r="11" spans="1:14" x14ac:dyDescent="0.15">
      <c r="A11" t="s">
        <v>33</v>
      </c>
      <c r="B11" t="s">
        <v>68</v>
      </c>
      <c r="C11" s="5">
        <v>419305</v>
      </c>
      <c r="D11" s="5">
        <f t="shared" si="0"/>
        <v>419305</v>
      </c>
      <c r="G11" t="s">
        <v>5</v>
      </c>
      <c r="H11" t="str">
        <f t="shared" ref="H11" si="3">G11</f>
        <v>Red</v>
      </c>
      <c r="I11" t="str">
        <f t="shared" ref="I11" si="4">G11</f>
        <v>Red</v>
      </c>
      <c r="J11" t="s">
        <v>59</v>
      </c>
      <c r="K11">
        <v>0.2</v>
      </c>
      <c r="L11">
        <v>1</v>
      </c>
      <c r="M11">
        <v>32</v>
      </c>
    </row>
    <row r="12" spans="1:14" x14ac:dyDescent="0.15">
      <c r="A12" t="s">
        <v>33</v>
      </c>
      <c r="B12" t="s">
        <v>69</v>
      </c>
      <c r="C12" s="4">
        <v>886307</v>
      </c>
      <c r="D12" s="4">
        <f t="shared" si="0"/>
        <v>886307</v>
      </c>
      <c r="G12" t="s">
        <v>5</v>
      </c>
      <c r="H12" t="str">
        <f t="shared" ref="H12:H13" si="5">G12</f>
        <v>Red</v>
      </c>
      <c r="I12" t="str">
        <f t="shared" ref="I12:I13" si="6">G12</f>
        <v>Red</v>
      </c>
      <c r="J12" t="s">
        <v>59</v>
      </c>
      <c r="K12">
        <v>0.2</v>
      </c>
      <c r="L12">
        <v>1</v>
      </c>
      <c r="M12">
        <v>32</v>
      </c>
    </row>
    <row r="13" spans="1:14" x14ac:dyDescent="0.15">
      <c r="A13" t="s">
        <v>74</v>
      </c>
      <c r="B13" t="s">
        <v>69</v>
      </c>
      <c r="C13" s="5">
        <v>219574</v>
      </c>
      <c r="D13" s="5">
        <f t="shared" si="0"/>
        <v>219574</v>
      </c>
      <c r="G13" t="s">
        <v>75</v>
      </c>
      <c r="H13" t="str">
        <f t="shared" si="5"/>
        <v>Green</v>
      </c>
      <c r="I13" t="str">
        <f t="shared" si="6"/>
        <v>Green</v>
      </c>
      <c r="J13" t="s">
        <v>59</v>
      </c>
      <c r="K13">
        <v>0.2</v>
      </c>
      <c r="L13">
        <v>1</v>
      </c>
      <c r="M13">
        <v>32</v>
      </c>
    </row>
    <row r="14" spans="1:14" x14ac:dyDescent="0.15">
      <c r="A14" t="s">
        <v>69</v>
      </c>
      <c r="B14" t="s">
        <v>71</v>
      </c>
      <c r="C14" s="4">
        <v>666733</v>
      </c>
      <c r="D14" s="4">
        <f t="shared" si="0"/>
        <v>666733</v>
      </c>
      <c r="G14" t="s">
        <v>5</v>
      </c>
      <c r="H14" t="str">
        <f t="shared" ref="H14" si="7">G14</f>
        <v>Red</v>
      </c>
      <c r="I14" t="str">
        <f t="shared" ref="I14" si="8">G14</f>
        <v>Red</v>
      </c>
      <c r="J14" t="s">
        <v>59</v>
      </c>
      <c r="K14">
        <v>0.2</v>
      </c>
      <c r="L14">
        <v>1</v>
      </c>
      <c r="M14">
        <v>32</v>
      </c>
    </row>
    <row r="15" spans="1:14" x14ac:dyDescent="0.15">
      <c r="C15" s="6"/>
      <c r="D15" s="6"/>
    </row>
    <row r="16" spans="1:14" x14ac:dyDescent="0.15">
      <c r="C16" s="6"/>
      <c r="D16" s="6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43A8-B94B-480E-A81A-F335603DE8A8}">
  <dimension ref="A1:D19"/>
  <sheetViews>
    <sheetView workbookViewId="0">
      <selection activeCell="A20" sqref="A20"/>
    </sheetView>
  </sheetViews>
  <sheetFormatPr defaultRowHeight="14.25" x14ac:dyDescent="0.15"/>
  <cols>
    <col min="1" max="1" width="63.75" bestFit="1" customWidth="1"/>
    <col min="2" max="3" width="11.25" bestFit="1" customWidth="1"/>
  </cols>
  <sheetData>
    <row r="1" spans="1:4" x14ac:dyDescent="0.15">
      <c r="A1" t="s">
        <v>32</v>
      </c>
      <c r="B1" t="s">
        <v>60</v>
      </c>
      <c r="C1" t="s">
        <v>61</v>
      </c>
      <c r="D1" t="s">
        <v>72</v>
      </c>
    </row>
    <row r="2" spans="1:4" x14ac:dyDescent="0.15">
      <c r="B2">
        <v>2025</v>
      </c>
      <c r="C2">
        <v>2024</v>
      </c>
      <c r="D2">
        <f t="shared" ref="D2:D19" si="0">ROUND((B2-C2)/C2*100,1)</f>
        <v>0</v>
      </c>
    </row>
    <row r="3" spans="1:4" x14ac:dyDescent="0.15">
      <c r="A3" t="s">
        <v>73</v>
      </c>
      <c r="D3" t="e">
        <f t="shared" si="0"/>
        <v>#DIV/0!</v>
      </c>
    </row>
    <row r="4" spans="1:4" x14ac:dyDescent="0.15">
      <c r="A4" t="s">
        <v>62</v>
      </c>
      <c r="B4">
        <v>1781129</v>
      </c>
      <c r="C4">
        <v>2271637</v>
      </c>
      <c r="D4">
        <f t="shared" si="0"/>
        <v>-21.6</v>
      </c>
    </row>
    <row r="6" spans="1:4" x14ac:dyDescent="0.15">
      <c r="A6" t="s">
        <v>63</v>
      </c>
      <c r="B6">
        <v>218625</v>
      </c>
      <c r="C6">
        <v>317042</v>
      </c>
      <c r="D6">
        <f t="shared" si="0"/>
        <v>-31</v>
      </c>
    </row>
    <row r="7" spans="1:4" x14ac:dyDescent="0.15">
      <c r="A7" t="s">
        <v>64</v>
      </c>
      <c r="B7">
        <v>497330</v>
      </c>
      <c r="C7">
        <v>368691</v>
      </c>
      <c r="D7">
        <f t="shared" si="0"/>
        <v>34.9</v>
      </c>
    </row>
    <row r="8" spans="1:4" x14ac:dyDescent="0.15">
      <c r="A8" t="s">
        <v>34</v>
      </c>
      <c r="B8">
        <v>314777</v>
      </c>
      <c r="C8">
        <v>225827</v>
      </c>
      <c r="D8">
        <f t="shared" si="0"/>
        <v>39.4</v>
      </c>
    </row>
    <row r="9" spans="1:4" x14ac:dyDescent="0.15">
      <c r="A9" t="s">
        <v>35</v>
      </c>
      <c r="B9">
        <v>453143</v>
      </c>
      <c r="C9">
        <v>362519</v>
      </c>
      <c r="D9">
        <f t="shared" si="0"/>
        <v>25</v>
      </c>
    </row>
    <row r="10" spans="1:4" x14ac:dyDescent="0.15">
      <c r="A10" t="s">
        <v>65</v>
      </c>
      <c r="B10">
        <v>30781</v>
      </c>
      <c r="C10">
        <v>-16241</v>
      </c>
      <c r="D10">
        <f t="shared" si="0"/>
        <v>-289.5</v>
      </c>
    </row>
    <row r="11" spans="1:4" x14ac:dyDescent="0.15">
      <c r="A11" t="s">
        <v>66</v>
      </c>
      <c r="B11">
        <v>-7280</v>
      </c>
      <c r="C11">
        <v>-20270</v>
      </c>
      <c r="D11">
        <f t="shared" si="0"/>
        <v>-64.099999999999994</v>
      </c>
    </row>
    <row r="13" spans="1:4" x14ac:dyDescent="0.15">
      <c r="A13" t="s">
        <v>33</v>
      </c>
      <c r="B13">
        <v>273753</v>
      </c>
      <c r="C13">
        <v>1034069</v>
      </c>
      <c r="D13">
        <f t="shared" si="0"/>
        <v>-73.5</v>
      </c>
    </row>
    <row r="14" spans="1:4" x14ac:dyDescent="0.15">
      <c r="A14" t="s">
        <v>43</v>
      </c>
      <c r="B14">
        <v>22593</v>
      </c>
      <c r="C14">
        <v>20537</v>
      </c>
      <c r="D14">
        <f t="shared" si="0"/>
        <v>10</v>
      </c>
    </row>
    <row r="15" spans="1:4" x14ac:dyDescent="0.15">
      <c r="A15" t="s">
        <v>67</v>
      </c>
      <c r="B15">
        <v>718162</v>
      </c>
      <c r="C15">
        <v>-476153</v>
      </c>
      <c r="D15">
        <f t="shared" si="0"/>
        <v>-250.8</v>
      </c>
    </row>
    <row r="16" spans="1:4" x14ac:dyDescent="0.15">
      <c r="A16" t="s">
        <v>68</v>
      </c>
      <c r="B16">
        <v>419305</v>
      </c>
      <c r="C16">
        <v>-7191</v>
      </c>
      <c r="D16">
        <f t="shared" si="0"/>
        <v>-5931</v>
      </c>
    </row>
    <row r="17" spans="1:4" x14ac:dyDescent="0.15">
      <c r="A17" t="s">
        <v>69</v>
      </c>
      <c r="B17">
        <v>-886307</v>
      </c>
      <c r="C17">
        <v>1496876</v>
      </c>
      <c r="D17">
        <f t="shared" si="0"/>
        <v>-159.19999999999999</v>
      </c>
    </row>
    <row r="18" spans="1:4" x14ac:dyDescent="0.15">
      <c r="A18" t="s">
        <v>74</v>
      </c>
      <c r="B18">
        <v>-219574</v>
      </c>
      <c r="C18">
        <v>205700</v>
      </c>
      <c r="D18">
        <f t="shared" si="0"/>
        <v>-206.7</v>
      </c>
    </row>
    <row r="19" spans="1:4" x14ac:dyDescent="0.15">
      <c r="A19" t="s">
        <v>71</v>
      </c>
      <c r="B19">
        <v>-666733</v>
      </c>
      <c r="C19">
        <v>1291176</v>
      </c>
      <c r="D19">
        <f t="shared" si="0"/>
        <v>-151.6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51E6-C13E-4034-A2BF-A9099434B418}">
  <dimension ref="A1:I2"/>
  <sheetViews>
    <sheetView tabSelected="1" workbookViewId="0">
      <selection activeCell="E3" sqref="E3"/>
    </sheetView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12.125" bestFit="1" customWidth="1"/>
    <col min="8" max="8" width="12.875" bestFit="1" customWidth="1"/>
    <col min="9" max="9" width="13" bestFit="1" customWidth="1"/>
  </cols>
  <sheetData>
    <row r="1" spans="1:9" x14ac:dyDescent="0.15">
      <c r="A1" t="s">
        <v>27</v>
      </c>
      <c r="B1" t="s">
        <v>26</v>
      </c>
      <c r="C1" t="s">
        <v>21</v>
      </c>
      <c r="D1" t="s">
        <v>22</v>
      </c>
      <c r="E1" t="s">
        <v>24</v>
      </c>
      <c r="F1" t="s">
        <v>23</v>
      </c>
      <c r="G1" t="s">
        <v>47</v>
      </c>
      <c r="H1" t="s">
        <v>46</v>
      </c>
      <c r="I1" t="s">
        <v>45</v>
      </c>
    </row>
    <row r="2" spans="1:9" x14ac:dyDescent="0.15">
      <c r="A2" t="s">
        <v>25</v>
      </c>
      <c r="E2" t="b">
        <v>0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E5B9-0CA9-4240-8F3C-05471E89F1C5}">
  <dimension ref="A1:D21"/>
  <sheetViews>
    <sheetView workbookViewId="0"/>
  </sheetViews>
  <sheetFormatPr defaultRowHeight="14.25" x14ac:dyDescent="0.15"/>
  <cols>
    <col min="1" max="1" width="43.25" bestFit="1" customWidth="1"/>
    <col min="2" max="3" width="11.875" bestFit="1" customWidth="1"/>
  </cols>
  <sheetData>
    <row r="1" spans="1:4" x14ac:dyDescent="0.15">
      <c r="A1" t="s">
        <v>32</v>
      </c>
      <c r="B1" t="s">
        <v>54</v>
      </c>
      <c r="C1" t="s">
        <v>56</v>
      </c>
      <c r="D1" t="s">
        <v>55</v>
      </c>
    </row>
    <row r="2" spans="1:4" x14ac:dyDescent="0.15">
      <c r="A2" t="s">
        <v>36</v>
      </c>
      <c r="B2" s="1">
        <v>60915</v>
      </c>
      <c r="C2">
        <v>63970</v>
      </c>
      <c r="D2">
        <f t="shared" ref="D2:D21" si="0">ROUND((C2-B2)/B2*100,1)</f>
        <v>5</v>
      </c>
    </row>
    <row r="3" spans="1:4" x14ac:dyDescent="0.15">
      <c r="A3" t="s">
        <v>37</v>
      </c>
      <c r="B3" s="1">
        <v>82398</v>
      </c>
      <c r="C3">
        <v>91697</v>
      </c>
      <c r="D3">
        <f t="shared" si="0"/>
        <v>11.3</v>
      </c>
    </row>
    <row r="4" spans="1:4" x14ac:dyDescent="0.15">
      <c r="A4" t="s">
        <v>38</v>
      </c>
      <c r="B4" s="1">
        <v>143313</v>
      </c>
      <c r="C4">
        <v>155667</v>
      </c>
      <c r="D4">
        <f t="shared" si="0"/>
        <v>8.6</v>
      </c>
    </row>
    <row r="5" spans="1:4" x14ac:dyDescent="0.15">
      <c r="A5" t="s">
        <v>51</v>
      </c>
    </row>
    <row r="6" spans="1:4" x14ac:dyDescent="0.15">
      <c r="A6" t="s">
        <v>39</v>
      </c>
      <c r="B6" s="1">
        <v>72633</v>
      </c>
      <c r="C6">
        <v>76976</v>
      </c>
      <c r="D6">
        <f t="shared" si="0"/>
        <v>6</v>
      </c>
    </row>
    <row r="7" spans="1:4" x14ac:dyDescent="0.15">
      <c r="A7" t="s">
        <v>40</v>
      </c>
      <c r="B7" s="1">
        <v>22317</v>
      </c>
      <c r="C7">
        <v>24593</v>
      </c>
      <c r="D7">
        <f t="shared" si="0"/>
        <v>10.199999999999999</v>
      </c>
    </row>
    <row r="8" spans="1:4" x14ac:dyDescent="0.15">
      <c r="A8" t="s">
        <v>48</v>
      </c>
      <c r="B8" s="1">
        <v>20424</v>
      </c>
      <c r="C8">
        <v>22994</v>
      </c>
      <c r="D8">
        <f t="shared" si="0"/>
        <v>12.6</v>
      </c>
    </row>
    <row r="9" spans="1:4" x14ac:dyDescent="0.15">
      <c r="A9" t="s">
        <v>34</v>
      </c>
      <c r="B9" s="1">
        <v>9662</v>
      </c>
      <c r="C9">
        <v>9763</v>
      </c>
      <c r="D9">
        <f t="shared" si="0"/>
        <v>1</v>
      </c>
    </row>
    <row r="10" spans="1:4" x14ac:dyDescent="0.15">
      <c r="A10" t="s">
        <v>35</v>
      </c>
      <c r="B10" s="1">
        <v>2742</v>
      </c>
      <c r="C10">
        <v>2628</v>
      </c>
      <c r="D10">
        <f t="shared" si="0"/>
        <v>-4.2</v>
      </c>
    </row>
    <row r="11" spans="1:4" x14ac:dyDescent="0.15">
      <c r="A11" t="s">
        <v>41</v>
      </c>
      <c r="B11">
        <v>228</v>
      </c>
      <c r="C11">
        <v>308</v>
      </c>
      <c r="D11">
        <f t="shared" si="0"/>
        <v>35.1</v>
      </c>
    </row>
    <row r="12" spans="1:4" x14ac:dyDescent="0.15">
      <c r="B12" s="1"/>
    </row>
    <row r="13" spans="1:4" x14ac:dyDescent="0.15">
      <c r="A13" t="s">
        <v>33</v>
      </c>
      <c r="B13" s="1">
        <v>15307</v>
      </c>
      <c r="C13">
        <v>18405</v>
      </c>
      <c r="D13">
        <f t="shared" si="0"/>
        <v>20.2</v>
      </c>
    </row>
    <row r="14" spans="1:4" x14ac:dyDescent="0.15">
      <c r="A14" t="s">
        <v>42</v>
      </c>
      <c r="B14">
        <v>993</v>
      </c>
      <c r="C14">
        <v>1066</v>
      </c>
      <c r="D14">
        <f t="shared" si="0"/>
        <v>7.4</v>
      </c>
    </row>
    <row r="15" spans="1:4" x14ac:dyDescent="0.15">
      <c r="A15" t="s">
        <v>43</v>
      </c>
      <c r="B15">
        <v>-644</v>
      </c>
      <c r="C15">
        <v>-541</v>
      </c>
      <c r="D15">
        <f t="shared" si="0"/>
        <v>-16</v>
      </c>
    </row>
    <row r="16" spans="1:4" x14ac:dyDescent="0.15">
      <c r="A16" t="s">
        <v>57</v>
      </c>
      <c r="B16" s="1">
        <v>-2673</v>
      </c>
      <c r="C16">
        <v>2749</v>
      </c>
      <c r="D16">
        <f t="shared" si="0"/>
        <v>-202.8</v>
      </c>
    </row>
    <row r="17" spans="1:4" x14ac:dyDescent="0.15">
      <c r="B17" s="1"/>
    </row>
    <row r="18" spans="1:4" x14ac:dyDescent="0.15">
      <c r="A18" t="s">
        <v>52</v>
      </c>
      <c r="B18" s="1">
        <v>12983</v>
      </c>
      <c r="C18">
        <v>21679</v>
      </c>
      <c r="D18">
        <f t="shared" si="0"/>
        <v>67</v>
      </c>
    </row>
    <row r="19" spans="1:4" x14ac:dyDescent="0.15">
      <c r="A19" t="s">
        <v>58</v>
      </c>
      <c r="B19" s="1">
        <v>-2467</v>
      </c>
      <c r="C19">
        <v>-4553</v>
      </c>
      <c r="D19">
        <f t="shared" si="0"/>
        <v>84.6</v>
      </c>
    </row>
    <row r="20" spans="1:4" x14ac:dyDescent="0.15">
      <c r="A20" t="s">
        <v>44</v>
      </c>
      <c r="B20">
        <v>-85</v>
      </c>
      <c r="C20">
        <v>1</v>
      </c>
      <c r="D20">
        <f t="shared" si="0"/>
        <v>-101.2</v>
      </c>
    </row>
    <row r="21" spans="1:4" x14ac:dyDescent="0.15">
      <c r="A21" t="s">
        <v>53</v>
      </c>
      <c r="B21" s="1">
        <v>10431</v>
      </c>
      <c r="C21">
        <v>17127</v>
      </c>
      <c r="D21">
        <f t="shared" si="0"/>
        <v>64.2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Props1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Table025 (Page 20)</vt:lpstr>
      <vt:lpstr>option</vt:lpstr>
      <vt:lpstr>Page005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2026-04-18T11:02:02Z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