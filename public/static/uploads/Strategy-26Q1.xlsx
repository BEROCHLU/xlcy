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0" documentId="13_ncr:1_{7B400D57-1BD9-4C83-B1BF-DCBB8F7E34DF}" xr6:coauthVersionLast="47" xr6:coauthVersionMax="47" xr10:uidLastSave="{00000000-0000-0000-0000-000000000000}"/>
  <bookViews>
    <workbookView xWindow="2880" yWindow="1068" windowWidth="19632" windowHeight="10392" tabRatio="587" xr2:uid="{00000000-000D-0000-FFFF-FFFF00000000}"/>
  </bookViews>
  <sheets>
    <sheet name="node" sheetId="1" r:id="rId1"/>
    <sheet name="edge" sheetId="2" r:id="rId2"/>
    <sheet name="Page010" sheetId="23" r:id="rId3"/>
    <sheet name="option" sheetId="13" r:id="rId4"/>
  </sheets>
  <definedNames>
    <definedName name="_xlnm._FilterDatabase" localSheetId="1" hidden="1">edge!$A$1:$B$7</definedName>
    <definedName name="_xlnm._FilterDatabase" localSheetId="0" hidden="1">node!$A$1:$K$4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3" l="1"/>
  <c r="B2" i="23"/>
  <c r="D2" i="1"/>
  <c r="D20" i="1"/>
  <c r="D19" i="1"/>
  <c r="H17" i="2"/>
  <c r="I17" i="2"/>
  <c r="H18" i="2"/>
  <c r="I18" i="2"/>
  <c r="H19" i="2"/>
  <c r="I19" i="2"/>
  <c r="D17" i="2"/>
  <c r="D18" i="2"/>
  <c r="D19" i="2"/>
  <c r="D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F14" i="23"/>
  <c r="F15" i="23" s="1"/>
  <c r="D17" i="1"/>
  <c r="D18" i="1"/>
  <c r="I3" i="2"/>
  <c r="H3" i="2"/>
  <c r="D3" i="2"/>
  <c r="I2" i="2"/>
  <c r="H2" i="2"/>
  <c r="D2" i="2"/>
  <c r="D14" i="1"/>
  <c r="D16" i="2"/>
  <c r="H16" i="2"/>
  <c r="I16" i="2"/>
  <c r="D15" i="2"/>
  <c r="D14" i="2"/>
  <c r="D11" i="2"/>
  <c r="D12" i="2"/>
  <c r="D13" i="2"/>
  <c r="D10" i="2"/>
  <c r="D4" i="2"/>
  <c r="D5" i="2"/>
  <c r="D6" i="2"/>
  <c r="D7" i="2"/>
  <c r="D8" i="2"/>
  <c r="D9" i="2"/>
  <c r="H14" i="2" l="1"/>
  <c r="I14" i="2"/>
  <c r="H15" i="2"/>
  <c r="I15" i="2"/>
  <c r="D13" i="1"/>
  <c r="D15" i="1"/>
  <c r="D16" i="1"/>
  <c r="H13" i="2" l="1"/>
  <c r="I13" i="2"/>
  <c r="H12" i="2"/>
  <c r="I12" i="2"/>
  <c r="D11" i="1"/>
  <c r="D12" i="1"/>
  <c r="H10" i="2"/>
  <c r="I10" i="2"/>
  <c r="H11" i="2"/>
  <c r="I11" i="2"/>
  <c r="D3" i="1"/>
  <c r="D4" i="1"/>
  <c r="D5" i="1"/>
  <c r="D6" i="1"/>
  <c r="D7" i="1"/>
  <c r="D8" i="1"/>
  <c r="D9" i="1"/>
  <c r="D10" i="1"/>
  <c r="H4" i="2" l="1"/>
  <c r="I4" i="2"/>
  <c r="H5" i="2"/>
  <c r="I5" i="2"/>
  <c r="H6" i="2"/>
  <c r="I6" i="2"/>
  <c r="H7" i="2"/>
  <c r="I7" i="2"/>
  <c r="H8" i="2"/>
  <c r="I8" i="2"/>
  <c r="H9" i="2"/>
  <c r="I9" i="2"/>
</calcChain>
</file>

<file path=xl/sharedStrings.xml><?xml version="1.0" encoding="utf-8"?>
<sst xmlns="http://schemas.openxmlformats.org/spreadsheetml/2006/main" count="194" uniqueCount="71">
  <si>
    <t>memo</t>
  </si>
  <si>
    <t>source</t>
  </si>
  <si>
    <t>target</t>
  </si>
  <si>
    <t>value</t>
    <phoneticPr fontId="1"/>
  </si>
  <si>
    <t>Grey</t>
    <phoneticPr fontId="1"/>
  </si>
  <si>
    <t>Red</t>
    <phoneticPr fontId="1"/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</si>
  <si>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</si>
  <si>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</si>
  <si>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</si>
  <si>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</si>
  <si>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</si>
  <si>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</si>
  <si>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</si>
  <si>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</si>
  <si>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</si>
  <si>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</si>
  <si>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</si>
  <si>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</si>
  <si>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</si>
  <si>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</si>
  <si>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</si>
  <si>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</si>
  <si>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</si>
  <si>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$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</si>
  <si>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</si>
  <si>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</si>
  <si>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</si>
  <si>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</si>
  <si>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</si>
  <si>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</si>
  <si>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Sales and marketing</t>
  </si>
  <si>
    <t>General and administrative</t>
  </si>
  <si>
    <t>tippy_offset_y</t>
    <phoneticPr fontId="1"/>
  </si>
  <si>
    <t>tippy_offset_x</t>
    <phoneticPr fontId="1"/>
  </si>
  <si>
    <t>use_directed</t>
    <phoneticPr fontId="1"/>
  </si>
  <si>
    <t>🌤️</t>
  </si>
  <si>
    <t>💧</t>
  </si>
  <si>
    <t>triangle</t>
    <phoneticPr fontId="1"/>
  </si>
  <si>
    <t>Green</t>
  </si>
  <si>
    <t>yoy</t>
    <phoneticPr fontId="1"/>
  </si>
  <si>
    <t>Gray</t>
    <phoneticPr fontId="1"/>
  </si>
  <si>
    <t>force_show_value</t>
    <phoneticPr fontId="1"/>
  </si>
  <si>
    <t>show_node_value</t>
    <phoneticPr fontId="1"/>
  </si>
  <si>
    <t>Column1</t>
  </si>
  <si>
    <t>Revenues:</t>
  </si>
  <si>
    <t>Product licenses</t>
  </si>
  <si>
    <t>Subscription services</t>
  </si>
  <si>
    <t>Total product licenses and subscription services</t>
  </si>
  <si>
    <t>Product support</t>
  </si>
  <si>
    <t>Other services</t>
  </si>
  <si>
    <t>Cost of revenues:</t>
  </si>
  <si>
    <t>Total cost of revenues</t>
  </si>
  <si>
    <t>Gross profit</t>
  </si>
  <si>
    <t>Operating expenses:</t>
  </si>
  <si>
    <t>Research and development</t>
  </si>
  <si>
    <t>Unrealized loss on digital assets</t>
  </si>
  <si>
    <t>Total operating expenses</t>
  </si>
  <si>
    <t>Loss from operations</t>
  </si>
  <si>
    <t>Interest income (expense), net</t>
  </si>
  <si>
    <t>Other income (expense), net</t>
  </si>
  <si>
    <t>Loss before income taxes</t>
  </si>
  <si>
    <t>Benefit from income taxes</t>
  </si>
  <si>
    <t>Net loss</t>
  </si>
  <si>
    <t>26</t>
  </si>
  <si>
    <t>25</t>
  </si>
  <si>
    <t>Net loss</t>
    <phoneticPr fontId="1"/>
  </si>
  <si>
    <t>-</t>
    <phoneticPr fontId="1"/>
  </si>
  <si>
    <t>Product support:cost</t>
  </si>
  <si>
    <t>Product support:cost</t>
    <phoneticPr fontId="1"/>
  </si>
  <si>
    <t>Other services:cost</t>
  </si>
  <si>
    <t>Other services:cost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</si>
</sst>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  <font>
      <sz val="12"/>
      <color rgb="FFFF0000"/>
      <name val="ＭＳ Ｐゴシック"/>
      <family val="2"/>
      <scheme val="minor"/>
    </font>
    <font>
      <sz val="12"/>
      <name val="ＭＳ Ｐゴシック"/>
      <family val="2"/>
      <scheme val="minor"/>
    </font>
    <font>
      <sz val="12"/>
      <color rgb="FFFF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2" fillId="0" borderId="0" xfId="0" applyFont="1"/>
    <xf numFmtId="176" fontId="0" fillId="0" borderId="0" xfId="1" applyNumberFormat="1" applyFont="1" applyAlignment="1"/>
    <xf numFmtId="0" fontId="5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3" fontId="0" fillId="0" borderId="0" xfId="0" applyNumberFormat="1"/>
    <xf numFmtId="0" fontId="0" fillId="2" borderId="0" xfId="0" applyFill="1"/>
  </cellXfs>
  <cellStyles count="2">
    <cellStyle name="パーセント" xfId="1" builtinId="5"/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B00CD-6BEE-4221-A04F-70FCF510CC3C}" name="Page010" displayName="Page010" ref="A1:D24" totalsRowShown="0">
  <autoFilter ref="A1:D24" xr:uid="{AAAB00CD-6BEE-4221-A04F-70FCF510CC3C}"/>
  <tableColumns count="4">
    <tableColumn id="1" xr3:uid="{BBCEF9A2-20DC-4D48-AE85-EFCBEB79BEC7}" name="Column1" dataDxfId="3"/>
    <tableColumn id="2" xr3:uid="{EA3DFC0B-5D69-4B80-AFB6-2EA9E87F6096}" name="26" dataDxfId="2"/>
    <tableColumn id="3" xr3:uid="{9397B8E2-3768-42D4-9679-604CAD541F27}" name="25" dataDxfId="1"/>
    <tableColumn id="4" xr3:uid="{AB5DF984-7309-43DC-81DD-367F7A1FB67E}" name="yoy" dataDxfId="0">
      <calculatedColumnFormula>ROUND((B2-C2)/C2*100,1)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"/>
  <sheetViews>
    <sheetView tabSelected="1" workbookViewId="0"/>
  </sheetViews>
  <sheetFormatPr defaultRowHeight="14.4" x14ac:dyDescent="0.2"/>
  <cols>
    <col min="1" max="1" width="41.19921875" customWidth="1"/>
    <col min="2" max="2" width="9.8984375" bestFit="1" customWidth="1"/>
    <col min="3" max="3" width="6.5" bestFit="1" customWidth="1"/>
    <col min="4" max="4" width="18.3984375" bestFit="1" customWidth="1"/>
    <col min="5" max="5" width="16.19921875" bestFit="1" customWidth="1"/>
    <col min="6" max="6" width="16.19921875" customWidth="1"/>
    <col min="7" max="7" width="9.5" bestFit="1" customWidth="1"/>
    <col min="8" max="8" width="8.69921875" bestFit="1" customWidth="1"/>
    <col min="9" max="9" width="20.19921875" bestFit="1" customWidth="1"/>
    <col min="10" max="10" width="22.5" bestFit="1" customWidth="1"/>
    <col min="11" max="11" width="12.3984375" bestFit="1" customWidth="1"/>
    <col min="13" max="13" width="9.59765625" bestFit="1" customWidth="1"/>
  </cols>
  <sheetData>
    <row r="1" spans="1:13" x14ac:dyDescent="0.2">
      <c r="A1" t="s">
        <v>27</v>
      </c>
      <c r="B1" t="s">
        <v>28</v>
      </c>
      <c r="C1" t="s">
        <v>29</v>
      </c>
      <c r="D1" t="s">
        <v>11</v>
      </c>
      <c r="E1" t="s">
        <v>26</v>
      </c>
      <c r="F1" t="s">
        <v>41</v>
      </c>
      <c r="G1" t="s">
        <v>12</v>
      </c>
      <c r="H1" t="s">
        <v>9</v>
      </c>
      <c r="I1" t="s">
        <v>10</v>
      </c>
      <c r="J1" t="s">
        <v>8</v>
      </c>
      <c r="K1" t="s">
        <v>7</v>
      </c>
      <c r="L1" t="s">
        <v>19</v>
      </c>
      <c r="M1" t="s">
        <v>6</v>
      </c>
    </row>
    <row r="2" spans="1:13" ht="19.2" x14ac:dyDescent="0.45">
      <c r="A2" t="s">
        <v>44</v>
      </c>
      <c r="B2">
        <v>11.9</v>
      </c>
      <c r="C2" s="1" t="s">
        <v>35</v>
      </c>
      <c r="D2" t="str">
        <f t="shared" ref="D2" si="0">B2&amp;"%"&amp;C2</f>
        <v>11.9%🌤️</v>
      </c>
      <c r="F2" t="b">
        <v>1</v>
      </c>
      <c r="I2" t="s">
        <v>4</v>
      </c>
      <c r="J2">
        <v>0.9</v>
      </c>
      <c r="K2">
        <v>30</v>
      </c>
    </row>
    <row r="3" spans="1:13" ht="19.2" x14ac:dyDescent="0.45">
      <c r="A3" t="s">
        <v>47</v>
      </c>
      <c r="B3" s="2">
        <v>45.1</v>
      </c>
      <c r="C3" s="1" t="s">
        <v>35</v>
      </c>
      <c r="D3" t="str">
        <f t="shared" ref="D3:D18" si="1">B3&amp;"%"&amp;C3</f>
        <v>45.1%🌤️</v>
      </c>
      <c r="I3" t="s">
        <v>4</v>
      </c>
      <c r="J3">
        <v>0.9</v>
      </c>
      <c r="K3">
        <v>30</v>
      </c>
    </row>
    <row r="4" spans="1:13" ht="19.2" x14ac:dyDescent="0.45">
      <c r="A4" t="s">
        <v>48</v>
      </c>
      <c r="B4" s="2">
        <v>-15.9</v>
      </c>
      <c r="C4" s="1" t="s">
        <v>36</v>
      </c>
      <c r="D4" t="str">
        <f t="shared" si="1"/>
        <v>-15.9%💧</v>
      </c>
      <c r="I4" t="s">
        <v>4</v>
      </c>
      <c r="J4">
        <v>0.9</v>
      </c>
      <c r="K4">
        <v>30</v>
      </c>
    </row>
    <row r="5" spans="1:13" ht="19.2" x14ac:dyDescent="0.45">
      <c r="A5" t="s">
        <v>49</v>
      </c>
      <c r="B5" s="2">
        <v>11.1</v>
      </c>
      <c r="C5" s="1" t="s">
        <v>35</v>
      </c>
      <c r="D5" t="str">
        <f t="shared" si="1"/>
        <v>11.1%🌤️</v>
      </c>
      <c r="I5" t="s">
        <v>4</v>
      </c>
      <c r="J5">
        <v>0.9</v>
      </c>
      <c r="K5">
        <v>30</v>
      </c>
    </row>
    <row r="6" spans="1:13" ht="19.2" x14ac:dyDescent="0.45">
      <c r="A6" t="s">
        <v>45</v>
      </c>
      <c r="B6" s="2" t="s">
        <v>66</v>
      </c>
      <c r="C6" s="1" t="s">
        <v>36</v>
      </c>
      <c r="D6" t="str">
        <f t="shared" si="1"/>
        <v>-%💧</v>
      </c>
      <c r="I6" t="s">
        <v>5</v>
      </c>
      <c r="J6">
        <v>0.9</v>
      </c>
      <c r="K6">
        <v>30</v>
      </c>
    </row>
    <row r="7" spans="1:13" ht="19.2" x14ac:dyDescent="0.45">
      <c r="A7" t="s">
        <v>46</v>
      </c>
      <c r="B7" s="2">
        <v>55.7</v>
      </c>
      <c r="C7" s="1" t="s">
        <v>36</v>
      </c>
      <c r="D7" t="str">
        <f t="shared" si="1"/>
        <v>55.7%💧</v>
      </c>
      <c r="I7" t="s">
        <v>5</v>
      </c>
      <c r="J7">
        <v>0.9</v>
      </c>
      <c r="K7">
        <v>30</v>
      </c>
    </row>
    <row r="8" spans="1:13" ht="19.2" x14ac:dyDescent="0.45">
      <c r="A8" t="s">
        <v>67</v>
      </c>
      <c r="B8" s="2">
        <v>-15.9</v>
      </c>
      <c r="C8" s="1" t="s">
        <v>35</v>
      </c>
      <c r="D8" t="str">
        <f t="shared" si="1"/>
        <v>-15.9%🌤️</v>
      </c>
      <c r="I8" t="s">
        <v>5</v>
      </c>
      <c r="J8">
        <v>0.9</v>
      </c>
      <c r="K8">
        <v>30</v>
      </c>
    </row>
    <row r="9" spans="1:13" ht="19.2" x14ac:dyDescent="0.45">
      <c r="A9" t="s">
        <v>69</v>
      </c>
      <c r="B9" s="2">
        <v>-1.2</v>
      </c>
      <c r="C9" s="1" t="s">
        <v>35</v>
      </c>
      <c r="D9" t="str">
        <f t="shared" si="1"/>
        <v>-1.2%🌤️</v>
      </c>
      <c r="I9" t="s">
        <v>5</v>
      </c>
      <c r="J9">
        <v>0.9</v>
      </c>
      <c r="K9">
        <v>30</v>
      </c>
    </row>
    <row r="10" spans="1:13" ht="19.2" x14ac:dyDescent="0.45">
      <c r="A10" t="s">
        <v>52</v>
      </c>
      <c r="B10" s="2">
        <v>8.1</v>
      </c>
      <c r="C10" s="1" t="s">
        <v>35</v>
      </c>
      <c r="D10" t="str">
        <f t="shared" si="1"/>
        <v>8.1%🌤️</v>
      </c>
      <c r="I10" t="s">
        <v>38</v>
      </c>
      <c r="J10">
        <v>0.9</v>
      </c>
      <c r="K10">
        <v>30</v>
      </c>
    </row>
    <row r="11" spans="1:13" ht="19.2" x14ac:dyDescent="0.45">
      <c r="A11" t="s">
        <v>30</v>
      </c>
      <c r="B11">
        <v>31.7</v>
      </c>
      <c r="C11" s="1" t="s">
        <v>36</v>
      </c>
      <c r="D11" t="str">
        <f t="shared" si="1"/>
        <v>31.7%💧</v>
      </c>
      <c r="I11" t="s">
        <v>5</v>
      </c>
      <c r="J11">
        <v>0.9</v>
      </c>
      <c r="K11">
        <v>30</v>
      </c>
    </row>
    <row r="12" spans="1:13" ht="19.2" x14ac:dyDescent="0.45">
      <c r="A12" t="s">
        <v>54</v>
      </c>
      <c r="B12">
        <v>1</v>
      </c>
      <c r="C12" s="1" t="s">
        <v>36</v>
      </c>
      <c r="D12" t="str">
        <f t="shared" si="1"/>
        <v>1%💧</v>
      </c>
      <c r="I12" t="s">
        <v>5</v>
      </c>
      <c r="J12">
        <v>0.9</v>
      </c>
      <c r="K12">
        <v>30</v>
      </c>
    </row>
    <row r="13" spans="1:13" ht="19.2" x14ac:dyDescent="0.45">
      <c r="A13" t="s">
        <v>31</v>
      </c>
      <c r="B13">
        <v>-7.9</v>
      </c>
      <c r="C13" s="1" t="s">
        <v>35</v>
      </c>
      <c r="D13" t="str">
        <f t="shared" si="1"/>
        <v>-7.9%🌤️</v>
      </c>
      <c r="I13" t="s">
        <v>5</v>
      </c>
      <c r="J13">
        <v>0.9</v>
      </c>
      <c r="K13">
        <v>30</v>
      </c>
    </row>
    <row r="14" spans="1:13" ht="19.2" x14ac:dyDescent="0.45">
      <c r="A14" t="s">
        <v>55</v>
      </c>
      <c r="B14">
        <v>144.80000000000001</v>
      </c>
      <c r="C14" s="1" t="s">
        <v>36</v>
      </c>
      <c r="D14" t="str">
        <f t="shared" si="1"/>
        <v>144.8%💧</v>
      </c>
      <c r="I14" t="s">
        <v>5</v>
      </c>
      <c r="J14">
        <v>0.9</v>
      </c>
      <c r="K14">
        <v>30</v>
      </c>
    </row>
    <row r="15" spans="1:13" ht="19.2" x14ac:dyDescent="0.45">
      <c r="A15" t="s">
        <v>57</v>
      </c>
      <c r="B15">
        <v>144.4</v>
      </c>
      <c r="C15" s="1" t="s">
        <v>36</v>
      </c>
      <c r="D15" t="str">
        <f t="shared" si="1"/>
        <v>144.4%💧</v>
      </c>
      <c r="I15" t="s">
        <v>5</v>
      </c>
      <c r="J15">
        <v>0.9</v>
      </c>
      <c r="K15">
        <v>30</v>
      </c>
    </row>
    <row r="16" spans="1:13" ht="19.2" x14ac:dyDescent="0.45">
      <c r="A16" t="s">
        <v>58</v>
      </c>
      <c r="B16">
        <v>-110.7</v>
      </c>
      <c r="C16" s="1" t="s">
        <v>35</v>
      </c>
      <c r="D16" t="str">
        <f t="shared" si="1"/>
        <v>-110.7%🌤️</v>
      </c>
      <c r="I16" t="s">
        <v>38</v>
      </c>
      <c r="J16">
        <v>0.9</v>
      </c>
      <c r="K16">
        <v>30</v>
      </c>
    </row>
    <row r="17" spans="1:11" ht="19.2" x14ac:dyDescent="0.45">
      <c r="A17" t="s">
        <v>59</v>
      </c>
      <c r="B17">
        <v>-179.2</v>
      </c>
      <c r="C17" s="1" t="s">
        <v>35</v>
      </c>
      <c r="D17" t="str">
        <f t="shared" si="1"/>
        <v>-179.2%🌤️</v>
      </c>
      <c r="I17" t="s">
        <v>38</v>
      </c>
      <c r="J17">
        <v>0.9</v>
      </c>
      <c r="K17">
        <v>30</v>
      </c>
    </row>
    <row r="18" spans="1:11" ht="19.2" x14ac:dyDescent="0.45">
      <c r="A18" t="s">
        <v>60</v>
      </c>
      <c r="B18">
        <v>143.4</v>
      </c>
      <c r="C18" s="1" t="s">
        <v>36</v>
      </c>
      <c r="D18" t="str">
        <f t="shared" si="1"/>
        <v>143.4%💧</v>
      </c>
      <c r="I18" t="s">
        <v>5</v>
      </c>
      <c r="J18">
        <v>0.9</v>
      </c>
      <c r="K18">
        <v>30</v>
      </c>
    </row>
    <row r="19" spans="1:11" ht="19.2" x14ac:dyDescent="0.45">
      <c r="A19" t="s">
        <v>61</v>
      </c>
      <c r="B19">
        <v>11.5</v>
      </c>
      <c r="C19" s="1" t="s">
        <v>35</v>
      </c>
      <c r="D19" t="str">
        <f t="shared" ref="D19" si="2">B19&amp;"%"&amp;C19</f>
        <v>11.5%🌤️</v>
      </c>
      <c r="I19" t="s">
        <v>38</v>
      </c>
      <c r="J19">
        <v>0.9</v>
      </c>
      <c r="K19">
        <v>30</v>
      </c>
    </row>
    <row r="20" spans="1:11" ht="19.2" x14ac:dyDescent="0.45">
      <c r="A20" t="s">
        <v>62</v>
      </c>
      <c r="B20">
        <v>197.4</v>
      </c>
      <c r="C20" s="1" t="s">
        <v>36</v>
      </c>
      <c r="D20" t="str">
        <f t="shared" ref="D20" si="3">B20&amp;"%"&amp;C20</f>
        <v>197.4%💧</v>
      </c>
      <c r="I20" t="s">
        <v>5</v>
      </c>
      <c r="J20">
        <v>0.9</v>
      </c>
      <c r="K20">
        <v>30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0"/>
  <sheetViews>
    <sheetView workbookViewId="0">
      <selection activeCell="A2" sqref="A2"/>
    </sheetView>
  </sheetViews>
  <sheetFormatPr defaultRowHeight="14.4" x14ac:dyDescent="0.2"/>
  <cols>
    <col min="1" max="1" width="35.19921875" customWidth="1"/>
    <col min="2" max="2" width="43.59765625" customWidth="1"/>
    <col min="3" max="3" width="10.796875" customWidth="1"/>
    <col min="4" max="4" width="9.19921875" bestFit="1" customWidth="1"/>
    <col min="5" max="5" width="6.5" bestFit="1" customWidth="1"/>
    <col min="6" max="6" width="9" bestFit="1" customWidth="1"/>
    <col min="7" max="7" width="12.69921875" bestFit="1" customWidth="1"/>
    <col min="8" max="8" width="10" bestFit="1" customWidth="1"/>
    <col min="9" max="9" width="21.69921875" bestFit="1" customWidth="1"/>
    <col min="10" max="10" width="22.59765625" bestFit="1" customWidth="1"/>
    <col min="11" max="11" width="15" bestFit="1" customWidth="1"/>
    <col min="12" max="12" width="15.59765625" bestFit="1" customWidth="1"/>
    <col min="13" max="13" width="12.3984375" bestFit="1" customWidth="1"/>
    <col min="14" max="14" width="12.59765625" bestFit="1" customWidth="1"/>
  </cols>
  <sheetData>
    <row r="1" spans="1:14" x14ac:dyDescent="0.2">
      <c r="A1" t="s">
        <v>1</v>
      </c>
      <c r="B1" t="s">
        <v>2</v>
      </c>
      <c r="C1" t="s">
        <v>3</v>
      </c>
      <c r="D1" t="s">
        <v>27</v>
      </c>
      <c r="E1" t="s">
        <v>0</v>
      </c>
      <c r="F1" t="s">
        <v>19</v>
      </c>
      <c r="G1" t="s">
        <v>13</v>
      </c>
      <c r="H1" t="s">
        <v>9</v>
      </c>
      <c r="I1" t="s">
        <v>14</v>
      </c>
      <c r="J1" t="s">
        <v>15</v>
      </c>
      <c r="K1" t="s">
        <v>16</v>
      </c>
      <c r="L1" t="s">
        <v>17</v>
      </c>
      <c r="M1" t="s">
        <v>7</v>
      </c>
      <c r="N1" t="s">
        <v>18</v>
      </c>
    </row>
    <row r="2" spans="1:14" x14ac:dyDescent="0.2">
      <c r="A2" s="5" t="s">
        <v>47</v>
      </c>
      <c r="B2" s="5" t="s">
        <v>44</v>
      </c>
      <c r="C2" s="3">
        <v>64380</v>
      </c>
      <c r="D2" s="3">
        <f t="shared" ref="D2:D3" si="0">C2</f>
        <v>64380</v>
      </c>
      <c r="G2" t="s">
        <v>40</v>
      </c>
      <c r="H2" t="str">
        <f t="shared" ref="H2:H3" si="1">G2</f>
        <v>Gray</v>
      </c>
      <c r="I2" t="str">
        <f t="shared" ref="I2:I3" si="2">G2</f>
        <v>Gray</v>
      </c>
      <c r="J2" t="s">
        <v>37</v>
      </c>
      <c r="K2">
        <v>0.2</v>
      </c>
      <c r="L2">
        <v>1</v>
      </c>
      <c r="M2">
        <v>32</v>
      </c>
    </row>
    <row r="3" spans="1:14" x14ac:dyDescent="0.2">
      <c r="A3" s="5" t="s">
        <v>48</v>
      </c>
      <c r="B3" s="5" t="s">
        <v>44</v>
      </c>
      <c r="C3" s="3">
        <v>44190</v>
      </c>
      <c r="D3" s="3">
        <f t="shared" si="0"/>
        <v>44190</v>
      </c>
      <c r="G3" t="s">
        <v>40</v>
      </c>
      <c r="H3" t="str">
        <f t="shared" si="1"/>
        <v>Gray</v>
      </c>
      <c r="I3" t="str">
        <f t="shared" si="2"/>
        <v>Gray</v>
      </c>
      <c r="J3" t="s">
        <v>37</v>
      </c>
      <c r="K3">
        <v>0.2</v>
      </c>
      <c r="L3">
        <v>1</v>
      </c>
      <c r="M3">
        <v>32</v>
      </c>
    </row>
    <row r="4" spans="1:14" x14ac:dyDescent="0.2">
      <c r="A4" s="5" t="s">
        <v>49</v>
      </c>
      <c r="B4" s="5" t="s">
        <v>44</v>
      </c>
      <c r="C4" s="3">
        <v>15730</v>
      </c>
      <c r="D4" s="3">
        <f t="shared" ref="D4:D15" si="3">C4</f>
        <v>15730</v>
      </c>
      <c r="G4" t="s">
        <v>40</v>
      </c>
      <c r="H4" t="str">
        <f t="shared" ref="H4:H11" si="4">G4</f>
        <v>Gray</v>
      </c>
      <c r="I4" t="str">
        <f t="shared" ref="I4:I11" si="5">G4</f>
        <v>Gray</v>
      </c>
      <c r="J4" t="s">
        <v>37</v>
      </c>
      <c r="K4">
        <v>0.2</v>
      </c>
      <c r="L4">
        <v>1</v>
      </c>
      <c r="M4">
        <v>32</v>
      </c>
    </row>
    <row r="5" spans="1:14" x14ac:dyDescent="0.2">
      <c r="A5" s="5" t="s">
        <v>44</v>
      </c>
      <c r="B5" s="5" t="s">
        <v>45</v>
      </c>
      <c r="C5" s="3">
        <v>1196</v>
      </c>
      <c r="D5" s="3">
        <f t="shared" si="3"/>
        <v>1196</v>
      </c>
      <c r="G5" t="s">
        <v>5</v>
      </c>
      <c r="H5" t="str">
        <f t="shared" si="4"/>
        <v>Red</v>
      </c>
      <c r="I5" t="str">
        <f t="shared" si="5"/>
        <v>Red</v>
      </c>
      <c r="J5" t="s">
        <v>37</v>
      </c>
      <c r="K5">
        <v>0.2</v>
      </c>
      <c r="L5">
        <v>1</v>
      </c>
      <c r="M5">
        <v>32</v>
      </c>
    </row>
    <row r="6" spans="1:14" x14ac:dyDescent="0.2">
      <c r="A6" s="5" t="s">
        <v>44</v>
      </c>
      <c r="B6" s="5" t="s">
        <v>46</v>
      </c>
      <c r="C6" s="3">
        <v>22471</v>
      </c>
      <c r="D6" s="3">
        <f t="shared" si="3"/>
        <v>22471</v>
      </c>
      <c r="G6" t="s">
        <v>5</v>
      </c>
      <c r="H6" t="str">
        <f t="shared" si="4"/>
        <v>Red</v>
      </c>
      <c r="I6" t="str">
        <f t="shared" si="5"/>
        <v>Red</v>
      </c>
      <c r="J6" t="s">
        <v>37</v>
      </c>
      <c r="K6">
        <v>0.2</v>
      </c>
      <c r="L6">
        <v>1</v>
      </c>
      <c r="M6">
        <v>32</v>
      </c>
    </row>
    <row r="7" spans="1:14" x14ac:dyDescent="0.2">
      <c r="A7" s="5" t="s">
        <v>44</v>
      </c>
      <c r="B7" s="5" t="s">
        <v>67</v>
      </c>
      <c r="C7" s="3">
        <v>6187</v>
      </c>
      <c r="D7" s="3">
        <f t="shared" si="3"/>
        <v>6187</v>
      </c>
      <c r="G7" t="s">
        <v>5</v>
      </c>
      <c r="H7" t="str">
        <f t="shared" si="4"/>
        <v>Red</v>
      </c>
      <c r="I7" t="str">
        <f t="shared" si="5"/>
        <v>Red</v>
      </c>
      <c r="J7" t="s">
        <v>37</v>
      </c>
      <c r="K7">
        <v>0.2</v>
      </c>
      <c r="L7">
        <v>1</v>
      </c>
      <c r="M7">
        <v>32</v>
      </c>
    </row>
    <row r="8" spans="1:14" x14ac:dyDescent="0.2">
      <c r="A8" s="5" t="s">
        <v>44</v>
      </c>
      <c r="B8" s="5" t="s">
        <v>69</v>
      </c>
      <c r="C8" s="3">
        <v>11092</v>
      </c>
      <c r="D8" s="3">
        <f t="shared" si="3"/>
        <v>11092</v>
      </c>
      <c r="G8" t="s">
        <v>5</v>
      </c>
      <c r="H8" t="str">
        <f t="shared" si="4"/>
        <v>Red</v>
      </c>
      <c r="I8" t="str">
        <f t="shared" si="5"/>
        <v>Red</v>
      </c>
      <c r="J8" t="s">
        <v>37</v>
      </c>
      <c r="K8">
        <v>0.2</v>
      </c>
      <c r="L8">
        <v>1</v>
      </c>
      <c r="M8">
        <v>32</v>
      </c>
    </row>
    <row r="9" spans="1:14" x14ac:dyDescent="0.2">
      <c r="A9" s="5" t="s">
        <v>44</v>
      </c>
      <c r="B9" s="5" t="s">
        <v>52</v>
      </c>
      <c r="C9" s="3">
        <v>83354</v>
      </c>
      <c r="D9" s="3">
        <f t="shared" si="3"/>
        <v>83354</v>
      </c>
      <c r="G9" t="s">
        <v>38</v>
      </c>
      <c r="H9" t="str">
        <f t="shared" si="4"/>
        <v>Green</v>
      </c>
      <c r="I9" t="str">
        <f t="shared" si="5"/>
        <v>Green</v>
      </c>
      <c r="J9" t="s">
        <v>37</v>
      </c>
      <c r="K9">
        <v>0.2</v>
      </c>
      <c r="L9">
        <v>1</v>
      </c>
      <c r="M9">
        <v>32</v>
      </c>
    </row>
    <row r="10" spans="1:14" x14ac:dyDescent="0.2">
      <c r="A10" s="5" t="s">
        <v>52</v>
      </c>
      <c r="B10" s="5" t="s">
        <v>30</v>
      </c>
      <c r="C10" s="5">
        <v>36272</v>
      </c>
      <c r="D10" s="3">
        <f t="shared" si="3"/>
        <v>36272</v>
      </c>
      <c r="G10" t="s">
        <v>5</v>
      </c>
      <c r="H10" t="str">
        <f t="shared" si="4"/>
        <v>Red</v>
      </c>
      <c r="I10" t="str">
        <f t="shared" si="5"/>
        <v>Red</v>
      </c>
      <c r="J10" t="s">
        <v>37</v>
      </c>
      <c r="K10">
        <v>0.2</v>
      </c>
      <c r="L10">
        <v>1</v>
      </c>
      <c r="M10">
        <v>32</v>
      </c>
    </row>
    <row r="11" spans="1:14" x14ac:dyDescent="0.2">
      <c r="A11" s="5" t="s">
        <v>52</v>
      </c>
      <c r="B11" s="5" t="s">
        <v>54</v>
      </c>
      <c r="C11" s="5">
        <v>24665</v>
      </c>
      <c r="D11" s="3">
        <f t="shared" si="3"/>
        <v>24665</v>
      </c>
      <c r="G11" t="s">
        <v>5</v>
      </c>
      <c r="H11" t="str">
        <f t="shared" si="4"/>
        <v>Red</v>
      </c>
      <c r="I11" t="str">
        <f t="shared" si="5"/>
        <v>Red</v>
      </c>
      <c r="J11" t="s">
        <v>37</v>
      </c>
      <c r="K11">
        <v>0.2</v>
      </c>
      <c r="L11">
        <v>1</v>
      </c>
      <c r="M11">
        <v>32</v>
      </c>
    </row>
    <row r="12" spans="1:14" x14ac:dyDescent="0.2">
      <c r="A12" s="5" t="s">
        <v>52</v>
      </c>
      <c r="B12" s="5" t="s">
        <v>31</v>
      </c>
      <c r="C12" s="5">
        <v>37357</v>
      </c>
      <c r="D12" s="3">
        <f t="shared" si="3"/>
        <v>37357</v>
      </c>
      <c r="G12" t="s">
        <v>5</v>
      </c>
      <c r="H12" t="str">
        <f>G12</f>
        <v>Red</v>
      </c>
      <c r="I12" t="str">
        <f>G12</f>
        <v>Red</v>
      </c>
      <c r="J12" t="s">
        <v>37</v>
      </c>
      <c r="K12">
        <v>0.2</v>
      </c>
      <c r="L12">
        <v>1</v>
      </c>
      <c r="M12">
        <v>32</v>
      </c>
    </row>
    <row r="13" spans="1:14" x14ac:dyDescent="0.2">
      <c r="A13" s="5" t="s">
        <v>52</v>
      </c>
      <c r="B13" s="5" t="s">
        <v>55</v>
      </c>
      <c r="C13" s="5">
        <v>14455479</v>
      </c>
      <c r="D13" s="3">
        <f t="shared" si="3"/>
        <v>14455479</v>
      </c>
      <c r="G13" t="s">
        <v>5</v>
      </c>
      <c r="H13" t="str">
        <f t="shared" ref="H13" si="6">G13</f>
        <v>Red</v>
      </c>
      <c r="I13" t="str">
        <f t="shared" ref="I13" si="7">G13</f>
        <v>Red</v>
      </c>
      <c r="J13" t="s">
        <v>37</v>
      </c>
      <c r="K13">
        <v>0.2</v>
      </c>
      <c r="L13">
        <v>1</v>
      </c>
      <c r="M13">
        <v>32</v>
      </c>
    </row>
    <row r="14" spans="1:14" x14ac:dyDescent="0.2">
      <c r="A14" s="5" t="s">
        <v>52</v>
      </c>
      <c r="B14" s="5" t="s">
        <v>57</v>
      </c>
      <c r="C14" s="6">
        <v>14470419</v>
      </c>
      <c r="D14" s="3">
        <f t="shared" si="3"/>
        <v>14470419</v>
      </c>
      <c r="G14" t="s">
        <v>5</v>
      </c>
      <c r="H14" t="str">
        <f t="shared" ref="H14:H15" si="8">G14</f>
        <v>Red</v>
      </c>
      <c r="I14" t="str">
        <f t="shared" ref="I14:I15" si="9">G14</f>
        <v>Red</v>
      </c>
      <c r="J14" t="s">
        <v>37</v>
      </c>
      <c r="K14">
        <v>0.2</v>
      </c>
      <c r="L14">
        <v>1</v>
      </c>
      <c r="M14">
        <v>32</v>
      </c>
    </row>
    <row r="15" spans="1:14" x14ac:dyDescent="0.2">
      <c r="A15" s="5" t="s">
        <v>58</v>
      </c>
      <c r="B15" s="5" t="s">
        <v>57</v>
      </c>
      <c r="C15" s="5">
        <v>1824</v>
      </c>
      <c r="D15" s="3">
        <f t="shared" si="3"/>
        <v>1824</v>
      </c>
      <c r="G15" t="s">
        <v>38</v>
      </c>
      <c r="H15" t="str">
        <f t="shared" si="8"/>
        <v>Green</v>
      </c>
      <c r="I15" t="str">
        <f t="shared" si="9"/>
        <v>Green</v>
      </c>
      <c r="J15" t="s">
        <v>37</v>
      </c>
      <c r="K15">
        <v>0.2</v>
      </c>
      <c r="L15">
        <v>1</v>
      </c>
      <c r="M15">
        <v>32</v>
      </c>
    </row>
    <row r="16" spans="1:14" x14ac:dyDescent="0.2">
      <c r="A16" s="5" t="s">
        <v>59</v>
      </c>
      <c r="B16" s="5" t="s">
        <v>57</v>
      </c>
      <c r="C16" s="5">
        <v>3116</v>
      </c>
      <c r="D16" s="3">
        <f t="shared" ref="D16:D19" si="10">C16</f>
        <v>3116</v>
      </c>
      <c r="G16" t="s">
        <v>38</v>
      </c>
      <c r="H16" t="str">
        <f t="shared" ref="H16" si="11">G16</f>
        <v>Green</v>
      </c>
      <c r="I16" t="str">
        <f t="shared" ref="I16" si="12">G16</f>
        <v>Green</v>
      </c>
      <c r="J16" t="s">
        <v>37</v>
      </c>
      <c r="K16">
        <v>0.2</v>
      </c>
      <c r="L16">
        <v>1</v>
      </c>
      <c r="M16">
        <v>32</v>
      </c>
    </row>
    <row r="17" spans="1:13" x14ac:dyDescent="0.2">
      <c r="A17" s="5" t="s">
        <v>57</v>
      </c>
      <c r="B17" s="5" t="s">
        <v>60</v>
      </c>
      <c r="C17" s="4">
        <v>14465479</v>
      </c>
      <c r="D17" s="3">
        <f t="shared" si="10"/>
        <v>14465479</v>
      </c>
      <c r="G17" t="s">
        <v>5</v>
      </c>
      <c r="H17" t="str">
        <f t="shared" ref="H17:H19" si="13">G17</f>
        <v>Red</v>
      </c>
      <c r="I17" t="str">
        <f t="shared" ref="I17:I19" si="14">G17</f>
        <v>Red</v>
      </c>
      <c r="J17" t="s">
        <v>37</v>
      </c>
      <c r="K17">
        <v>0.2</v>
      </c>
      <c r="L17">
        <v>1</v>
      </c>
      <c r="M17">
        <v>32</v>
      </c>
    </row>
    <row r="18" spans="1:13" x14ac:dyDescent="0.2">
      <c r="A18" s="5" t="s">
        <v>61</v>
      </c>
      <c r="B18" s="5" t="s">
        <v>60</v>
      </c>
      <c r="C18" s="4">
        <v>1922809</v>
      </c>
      <c r="D18" s="3">
        <f t="shared" si="10"/>
        <v>1922809</v>
      </c>
      <c r="G18" t="s">
        <v>38</v>
      </c>
      <c r="H18" t="str">
        <f t="shared" si="13"/>
        <v>Green</v>
      </c>
      <c r="I18" t="str">
        <f t="shared" si="14"/>
        <v>Green</v>
      </c>
      <c r="J18" t="s">
        <v>37</v>
      </c>
      <c r="K18">
        <v>0.2</v>
      </c>
      <c r="L18">
        <v>1</v>
      </c>
      <c r="M18">
        <v>32</v>
      </c>
    </row>
    <row r="19" spans="1:13" x14ac:dyDescent="0.2">
      <c r="A19" s="5" t="s">
        <v>60</v>
      </c>
      <c r="B19" s="5" t="s">
        <v>65</v>
      </c>
      <c r="C19" s="4">
        <v>12542670</v>
      </c>
      <c r="D19" s="3">
        <f t="shared" si="10"/>
        <v>12542670</v>
      </c>
      <c r="G19" t="s">
        <v>5</v>
      </c>
      <c r="H19" t="str">
        <f t="shared" si="13"/>
        <v>Red</v>
      </c>
      <c r="I19" t="str">
        <f t="shared" si="14"/>
        <v>Red</v>
      </c>
      <c r="J19" t="s">
        <v>37</v>
      </c>
      <c r="K19">
        <v>0.2</v>
      </c>
      <c r="L19">
        <v>1</v>
      </c>
      <c r="M19">
        <v>32</v>
      </c>
    </row>
    <row r="20" spans="1:13" x14ac:dyDescent="0.2">
      <c r="A20" s="5"/>
      <c r="B20" s="5"/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2950DA-8E7B-4DAA-B345-AF2D1DDC2EDB}">
          <x14:formula1>
            <xm:f>Page010!$A$2:$A$24</xm:f>
          </x14:formula1>
          <xm:sqref>A2:B20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F70E-749A-4F67-BD3A-D36C6F62F529}">
  <dimension ref="A1:F24"/>
  <sheetViews>
    <sheetView workbookViewId="0">
      <selection activeCell="A2" sqref="A2"/>
    </sheetView>
  </sheetViews>
  <sheetFormatPr defaultRowHeight="14.4" x14ac:dyDescent="0.2"/>
  <cols>
    <col min="1" max="1" width="35.19921875" customWidth="1"/>
    <col min="2" max="2" width="11.5" bestFit="1" customWidth="1"/>
    <col min="3" max="3" width="11.296875" bestFit="1" customWidth="1"/>
    <col min="5" max="6" width="10.19921875" bestFit="1" customWidth="1"/>
  </cols>
  <sheetData>
    <row r="1" spans="1:6" x14ac:dyDescent="0.2">
      <c r="A1" t="s">
        <v>43</v>
      </c>
      <c r="B1" t="s">
        <v>63</v>
      </c>
      <c r="C1" t="s">
        <v>64</v>
      </c>
      <c r="D1" t="s">
        <v>39</v>
      </c>
    </row>
    <row r="2" spans="1:6" x14ac:dyDescent="0.2">
      <c r="A2" t="s">
        <v>44</v>
      </c>
      <c r="B2" s="7">
        <f>SUM(B3:B5)</f>
        <v>124300</v>
      </c>
      <c r="C2" s="7">
        <f>SUM(C3:C5)</f>
        <v>111066</v>
      </c>
      <c r="D2">
        <f t="shared" ref="D2:D24" si="0">ROUND((B2-C2)/C2*100,1)</f>
        <v>11.9</v>
      </c>
    </row>
    <row r="3" spans="1:6" x14ac:dyDescent="0.2">
      <c r="A3" t="s">
        <v>47</v>
      </c>
      <c r="B3" s="7">
        <v>64380</v>
      </c>
      <c r="C3" s="7">
        <v>44373</v>
      </c>
      <c r="D3">
        <f t="shared" si="0"/>
        <v>45.1</v>
      </c>
    </row>
    <row r="4" spans="1:6" x14ac:dyDescent="0.2">
      <c r="A4" t="s">
        <v>48</v>
      </c>
      <c r="B4" s="7">
        <v>44190</v>
      </c>
      <c r="C4" s="7">
        <v>52529</v>
      </c>
      <c r="D4">
        <f t="shared" si="0"/>
        <v>-15.9</v>
      </c>
    </row>
    <row r="5" spans="1:6" x14ac:dyDescent="0.2">
      <c r="A5" t="s">
        <v>49</v>
      </c>
      <c r="B5" s="7">
        <v>15730</v>
      </c>
      <c r="C5" s="7">
        <v>14164</v>
      </c>
      <c r="D5">
        <f t="shared" si="0"/>
        <v>11.1</v>
      </c>
    </row>
    <row r="6" spans="1:6" x14ac:dyDescent="0.2">
      <c r="A6" t="s">
        <v>50</v>
      </c>
      <c r="D6" t="e">
        <f t="shared" si="0"/>
        <v>#DIV/0!</v>
      </c>
    </row>
    <row r="7" spans="1:6" x14ac:dyDescent="0.2">
      <c r="A7" t="s">
        <v>45</v>
      </c>
      <c r="B7" s="7">
        <v>1196</v>
      </c>
      <c r="D7" t="e">
        <f t="shared" si="0"/>
        <v>#DIV/0!</v>
      </c>
    </row>
    <row r="8" spans="1:6" x14ac:dyDescent="0.2">
      <c r="A8" t="s">
        <v>46</v>
      </c>
      <c r="B8" s="7">
        <v>22471</v>
      </c>
      <c r="C8" s="7">
        <v>14429</v>
      </c>
      <c r="D8">
        <f t="shared" si="0"/>
        <v>55.7</v>
      </c>
    </row>
    <row r="9" spans="1:6" x14ac:dyDescent="0.2">
      <c r="A9" s="8" t="s">
        <v>68</v>
      </c>
      <c r="B9" s="7">
        <v>6187</v>
      </c>
      <c r="C9" s="7">
        <v>7354</v>
      </c>
      <c r="D9">
        <f t="shared" si="0"/>
        <v>-15.9</v>
      </c>
    </row>
    <row r="10" spans="1:6" x14ac:dyDescent="0.2">
      <c r="A10" s="8" t="s">
        <v>70</v>
      </c>
      <c r="B10" s="7">
        <v>11092</v>
      </c>
      <c r="C10" s="7">
        <v>11224</v>
      </c>
      <c r="D10">
        <f t="shared" si="0"/>
        <v>-1.2</v>
      </c>
    </row>
    <row r="11" spans="1:6" x14ac:dyDescent="0.2">
      <c r="A11" t="s">
        <v>51</v>
      </c>
      <c r="B11" s="7"/>
      <c r="C11" s="7"/>
      <c r="D11" t="e">
        <f t="shared" si="0"/>
        <v>#DIV/0!</v>
      </c>
    </row>
    <row r="12" spans="1:6" x14ac:dyDescent="0.2">
      <c r="A12" t="s">
        <v>52</v>
      </c>
      <c r="B12" s="7">
        <v>83354</v>
      </c>
      <c r="C12" s="7">
        <v>77095</v>
      </c>
      <c r="D12">
        <f t="shared" si="0"/>
        <v>8.1</v>
      </c>
    </row>
    <row r="13" spans="1:6" x14ac:dyDescent="0.2">
      <c r="A13" t="s">
        <v>53</v>
      </c>
      <c r="D13" t="e">
        <f t="shared" si="0"/>
        <v>#DIV/0!</v>
      </c>
    </row>
    <row r="14" spans="1:6" x14ac:dyDescent="0.2">
      <c r="A14" t="s">
        <v>30</v>
      </c>
      <c r="B14" s="7">
        <v>36272</v>
      </c>
      <c r="C14" s="7">
        <v>27532</v>
      </c>
      <c r="D14">
        <f t="shared" si="0"/>
        <v>31.7</v>
      </c>
      <c r="F14" s="7">
        <f>SUM(B14:B17)</f>
        <v>14553773</v>
      </c>
    </row>
    <row r="15" spans="1:6" x14ac:dyDescent="0.2">
      <c r="A15" t="s">
        <v>54</v>
      </c>
      <c r="B15" s="7">
        <v>24665</v>
      </c>
      <c r="C15" s="7">
        <v>24423</v>
      </c>
      <c r="D15">
        <f t="shared" si="0"/>
        <v>1</v>
      </c>
      <c r="F15" s="7">
        <f>F14-B12</f>
        <v>14470419</v>
      </c>
    </row>
    <row r="16" spans="1:6" x14ac:dyDescent="0.2">
      <c r="A16" t="s">
        <v>31</v>
      </c>
      <c r="B16" s="7">
        <v>37357</v>
      </c>
      <c r="C16" s="7">
        <v>40547</v>
      </c>
      <c r="D16">
        <f t="shared" si="0"/>
        <v>-7.9</v>
      </c>
    </row>
    <row r="17" spans="1:4" x14ac:dyDescent="0.2">
      <c r="A17" t="s">
        <v>55</v>
      </c>
      <c r="B17" s="7">
        <v>14455479</v>
      </c>
      <c r="C17" s="7">
        <v>5906005</v>
      </c>
      <c r="D17">
        <f t="shared" si="0"/>
        <v>144.80000000000001</v>
      </c>
    </row>
    <row r="18" spans="1:4" x14ac:dyDescent="0.2">
      <c r="A18" t="s">
        <v>56</v>
      </c>
      <c r="B18" s="7"/>
      <c r="C18" s="7"/>
      <c r="D18" t="e">
        <f t="shared" si="0"/>
        <v>#DIV/0!</v>
      </c>
    </row>
    <row r="19" spans="1:4" x14ac:dyDescent="0.2">
      <c r="A19" t="s">
        <v>57</v>
      </c>
      <c r="B19" s="7">
        <v>-14470419</v>
      </c>
      <c r="C19" s="7">
        <v>-5921412</v>
      </c>
      <c r="D19">
        <f t="shared" si="0"/>
        <v>144.4</v>
      </c>
    </row>
    <row r="20" spans="1:4" x14ac:dyDescent="0.2">
      <c r="A20" t="s">
        <v>58</v>
      </c>
      <c r="B20" s="7">
        <v>1824</v>
      </c>
      <c r="C20" s="7">
        <v>-17106</v>
      </c>
      <c r="D20">
        <f t="shared" si="0"/>
        <v>-110.7</v>
      </c>
    </row>
    <row r="21" spans="1:4" x14ac:dyDescent="0.2">
      <c r="A21" t="s">
        <v>59</v>
      </c>
      <c r="B21" s="7">
        <v>3116</v>
      </c>
      <c r="C21" s="7">
        <v>-3936</v>
      </c>
      <c r="D21">
        <f t="shared" si="0"/>
        <v>-179.2</v>
      </c>
    </row>
    <row r="22" spans="1:4" x14ac:dyDescent="0.2">
      <c r="A22" t="s">
        <v>60</v>
      </c>
      <c r="B22" s="7">
        <v>-14465479</v>
      </c>
      <c r="C22" s="7">
        <v>-5942454</v>
      </c>
      <c r="D22">
        <f t="shared" si="0"/>
        <v>143.4</v>
      </c>
    </row>
    <row r="23" spans="1:4" x14ac:dyDescent="0.2">
      <c r="A23" t="s">
        <v>61</v>
      </c>
      <c r="B23" s="7">
        <v>-1922809</v>
      </c>
      <c r="C23" s="7">
        <v>-1725084</v>
      </c>
      <c r="D23">
        <f t="shared" si="0"/>
        <v>11.5</v>
      </c>
    </row>
    <row r="24" spans="1:4" x14ac:dyDescent="0.2">
      <c r="A24" t="s">
        <v>62</v>
      </c>
      <c r="B24" s="7">
        <v>-12542670</v>
      </c>
      <c r="C24" s="7">
        <v>-4217370</v>
      </c>
      <c r="D24">
        <f t="shared" si="0"/>
        <v>197.4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51E6-C13E-4034-A2BF-A9099434B418}">
  <dimension ref="A1:I2"/>
  <sheetViews>
    <sheetView workbookViewId="0">
      <selection activeCell="A2" sqref="A2"/>
    </sheetView>
  </sheetViews>
  <sheetFormatPr defaultRowHeight="14.4" x14ac:dyDescent="0.2"/>
  <cols>
    <col min="1" max="1" width="14" bestFit="1" customWidth="1"/>
    <col min="2" max="2" width="13.8984375" bestFit="1" customWidth="1"/>
    <col min="3" max="3" width="9.19921875" bestFit="1" customWidth="1"/>
    <col min="4" max="4" width="9.09765625" bestFit="1" customWidth="1"/>
    <col min="5" max="5" width="15" bestFit="1" customWidth="1"/>
    <col min="6" max="6" width="14.69921875" bestFit="1" customWidth="1"/>
    <col min="7" max="7" width="12.09765625" bestFit="1" customWidth="1"/>
    <col min="8" max="8" width="12.8984375" bestFit="1" customWidth="1"/>
    <col min="9" max="9" width="13" bestFit="1" customWidth="1"/>
  </cols>
  <sheetData>
    <row r="1" spans="1:9" x14ac:dyDescent="0.2">
      <c r="A1" t="s">
        <v>25</v>
      </c>
      <c r="B1" t="s">
        <v>24</v>
      </c>
      <c r="C1" t="s">
        <v>20</v>
      </c>
      <c r="D1" t="s">
        <v>21</v>
      </c>
      <c r="E1" t="s">
        <v>42</v>
      </c>
      <c r="F1" t="s">
        <v>22</v>
      </c>
      <c r="G1" t="s">
        <v>34</v>
      </c>
      <c r="H1" t="s">
        <v>33</v>
      </c>
      <c r="I1" t="s">
        <v>32</v>
      </c>
    </row>
    <row r="2" spans="1:9" x14ac:dyDescent="0.2">
      <c r="A2" t="s">
        <v>23</v>
      </c>
      <c r="E2" t="b">
        <v>0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Props1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node</vt:lpstr>
      <vt:lpstr>edge</vt:lpstr>
      <vt:lpstr>Page010</vt:lpstr>
      <vt:lpstr>option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2026-06-02T11:31:15Z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