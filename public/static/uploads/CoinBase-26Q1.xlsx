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 defaultThemeVersion="124226"/>
  <xr:revisionPtr revIDLastSave="0" documentId="13_ncr:1_{6E2807DF-6809-4D95-B72C-BF3864817978}" xr6:coauthVersionLast="47" xr6:coauthVersionMax="47" xr10:uidLastSave="{00000000-0000-0000-0000-000000000000}"/>
  <bookViews>
    <workbookView xWindow="1656" yWindow="948" windowWidth="19632" windowHeight="10392" tabRatio="587" activeTab="3" xr2:uid="{00000000-000D-0000-FFFF-FFFF00000000}"/>
  </bookViews>
  <sheets>
    <sheet name="node" sheetId="1" r:id="rId1"/>
    <sheet name="edge" sheetId="2" r:id="rId2"/>
    <sheet name="Table009 (Page 6)" sheetId="22" r:id="rId3"/>
    <sheet name="option" sheetId="13" r:id="rId4"/>
  </sheets>
  <definedNames>
    <definedName name="_xlnm._FilterDatabase" localSheetId="1" hidden="1">edge!$A$1:$B$7</definedName>
    <definedName name="_xlnm._FilterDatabase" localSheetId="0" hidden="1">node!$A$1:$K$3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1" l="1"/>
  <c r="D17" i="1"/>
  <c r="I3" i="2"/>
  <c r="H3" i="2"/>
  <c r="D3" i="2"/>
  <c r="I2" i="2"/>
  <c r="H2" i="2"/>
  <c r="D2" i="2"/>
  <c r="D4" i="22"/>
  <c r="D3" i="22"/>
  <c r="D13" i="1"/>
  <c r="D16" i="2"/>
  <c r="H16" i="2"/>
  <c r="I16" i="2"/>
  <c r="D2" i="22"/>
  <c r="D5" i="22"/>
  <c r="D6" i="22"/>
  <c r="D7" i="22"/>
  <c r="D8" i="22"/>
  <c r="D9" i="22"/>
  <c r="D10" i="22"/>
  <c r="D12" i="22"/>
  <c r="D13" i="22"/>
  <c r="D14" i="22"/>
  <c r="D15" i="22"/>
  <c r="D16" i="22"/>
  <c r="D17" i="22"/>
  <c r="D18" i="22"/>
  <c r="D15" i="2"/>
  <c r="D14" i="2"/>
  <c r="D11" i="2"/>
  <c r="D12" i="2"/>
  <c r="D13" i="2"/>
  <c r="D10" i="2"/>
  <c r="D4" i="2"/>
  <c r="D5" i="2"/>
  <c r="D6" i="2"/>
  <c r="D7" i="2"/>
  <c r="D8" i="2"/>
  <c r="D9" i="2"/>
  <c r="H14" i="2" l="1"/>
  <c r="I14" i="2"/>
  <c r="H15" i="2"/>
  <c r="I15" i="2"/>
  <c r="D12" i="1"/>
  <c r="D14" i="1"/>
  <c r="D15" i="1"/>
  <c r="H13" i="2" l="1"/>
  <c r="I13" i="2"/>
  <c r="H12" i="2"/>
  <c r="I12" i="2"/>
  <c r="D10" i="1"/>
  <c r="D11" i="1"/>
  <c r="H10" i="2"/>
  <c r="I10" i="2"/>
  <c r="H11" i="2"/>
  <c r="I11" i="2"/>
  <c r="D2" i="1"/>
  <c r="D3" i="1"/>
  <c r="D4" i="1"/>
  <c r="D5" i="1"/>
  <c r="D6" i="1"/>
  <c r="D7" i="1"/>
  <c r="D8" i="1"/>
  <c r="D9" i="1"/>
  <c r="H4" i="2" l="1"/>
  <c r="I4" i="2"/>
  <c r="H5" i="2"/>
  <c r="I5" i="2"/>
  <c r="H6" i="2"/>
  <c r="I6" i="2"/>
  <c r="H7" i="2"/>
  <c r="I7" i="2"/>
  <c r="H8" i="2"/>
  <c r="I8" i="2"/>
  <c r="H9" i="2"/>
  <c r="I9" i="2"/>
</calcChain>
</file>

<file path=xl/sharedStrings.xml><?xml version="1.0" encoding="utf-8"?>
<sst xmlns="http://schemas.openxmlformats.org/spreadsheetml/2006/main" count="165" uniqueCount="63">
  <si>
    <t>memo</t>
  </si>
  <si>
    <t>source</t>
  </si>
  <si>
    <t>target</t>
  </si>
  <si>
    <t>value</t>
    <phoneticPr fontId="1"/>
  </si>
  <si>
    <t>Grey</t>
    <phoneticPr fontId="1"/>
  </si>
  <si>
    <t>Red</t>
    <phoneticPr fontId="1"/>
  </si>
  <si>
    <t>css.height</t>
    <phoneticPr fontId="1"/>
  </si>
  <si>
    <t>css.font-size</t>
    <phoneticPr fontId="1"/>
  </si>
  <si>
    <t>css.background-opacity</t>
    <phoneticPr fontId="1"/>
  </si>
  <si>
    <t>css.color</t>
    <phoneticPr fontId="1"/>
  </si>
  <si>
    <t>css.background-color</t>
    <phoneticPr fontId="1"/>
  </si>
  <si>
    <t>memo</t>
    <phoneticPr fontId="1"/>
  </si>
  <si>
    <t>css.shape</t>
    <phoneticPr fontId="1"/>
  </si>
  <si>
    <t>css.line-color</t>
    <phoneticPr fontId="1"/>
  </si>
  <si>
    <t>css.target-arrow-color</t>
    <phoneticPr fontId="1"/>
  </si>
  <si>
    <t>css.target-arrow-shape</t>
    <phoneticPr fontId="1"/>
  </si>
  <si>
    <t>css.line-opacity</t>
    <phoneticPr fontId="1"/>
  </si>
  <si>
    <t>css.text-opacity</t>
    <phoneticPr fontId="1"/>
  </si>
  <si>
    <t>css.line-style</t>
    <phoneticPr fontId="1"/>
  </si>
  <si>
    <t>css.width</t>
    <phoneticPr fontId="1"/>
  </si>
  <si>
    <t>node_unit</t>
    <phoneticPr fontId="1"/>
  </si>
  <si>
    <t>edge_unit</t>
    <phoneticPr fontId="1"/>
  </si>
  <si>
    <t>use_scale_width</t>
    <phoneticPr fontId="1"/>
  </si>
  <si>
    <t>$</t>
    <phoneticPr fontId="1"/>
  </si>
  <si>
    <t>edge_currency</t>
    <phoneticPr fontId="1"/>
  </si>
  <si>
    <t>node_currency</t>
    <phoneticPr fontId="1"/>
  </si>
  <si>
    <t>image</t>
    <phoneticPr fontId="1"/>
  </si>
  <si>
    <t>label</t>
    <phoneticPr fontId="1"/>
  </si>
  <si>
    <t>_change</t>
    <phoneticPr fontId="1"/>
  </si>
  <si>
    <t>_emoji</t>
    <phoneticPr fontId="1"/>
  </si>
  <si>
    <t>Sales and marketing</t>
  </si>
  <si>
    <t>General and administrative</t>
  </si>
  <si>
    <t>Interest expense</t>
  </si>
  <si>
    <t>tippy_offset_y</t>
    <phoneticPr fontId="1"/>
  </si>
  <si>
    <t>tippy_offset_x</t>
    <phoneticPr fontId="1"/>
  </si>
  <si>
    <t>use_directed</t>
    <phoneticPr fontId="1"/>
  </si>
  <si>
    <t>🌤️</t>
  </si>
  <si>
    <t>💧</t>
  </si>
  <si>
    <t>triangle</t>
    <phoneticPr fontId="1"/>
  </si>
  <si>
    <t>Total revenue</t>
  </si>
  <si>
    <t>Transaction expense</t>
  </si>
  <si>
    <t>Technology and development</t>
  </si>
  <si>
    <t>(Loss) income before income taxes</t>
  </si>
  <si>
    <t>Net (loss) income</t>
  </si>
  <si>
    <t>Green</t>
  </si>
  <si>
    <t>yoy</t>
    <phoneticPr fontId="1"/>
  </si>
  <si>
    <t>Revenue:</t>
  </si>
  <si>
    <t>Losses on crypto assets held for operations, net</t>
  </si>
  <si>
    <t>Other operating expense (income), net</t>
  </si>
  <si>
    <t>Operating (loss) income</t>
  </si>
  <si>
    <t>Losses on crypto assets held for investment, net</t>
  </si>
  <si>
    <t>Other (income) expense, net</t>
  </si>
  <si>
    <t>(Benefit from) provision for income taxes</t>
  </si>
  <si>
    <t>26</t>
    <phoneticPr fontId="1"/>
  </si>
  <si>
    <t>25</t>
    <phoneticPr fontId="1"/>
  </si>
  <si>
    <t>Net revenue</t>
  </si>
  <si>
    <t>Net revenue</t>
    <phoneticPr fontId="1"/>
  </si>
  <si>
    <t>Other revenue</t>
  </si>
  <si>
    <t>Other revenue</t>
    <phoneticPr fontId="1"/>
  </si>
  <si>
    <t>Total revenue</t>
    <phoneticPr fontId="1"/>
  </si>
  <si>
    <t>Gray</t>
    <phoneticPr fontId="1"/>
  </si>
  <si>
    <t>force_show_value</t>
    <phoneticPr fontId="1"/>
  </si>
  <si>
    <t>show_node_value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</si>
</sst>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9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2"/>
      <color theme="1"/>
      <name val="Segoe UI Symbol"/>
      <family val="2"/>
    </font>
    <font>
      <sz val="12"/>
      <color theme="1"/>
      <name val="ＭＳ Ｐゴシック"/>
      <family val="2"/>
      <scheme val="minor"/>
    </font>
    <font>
      <sz val="12"/>
      <color rgb="FFFF0000"/>
      <name val="ＭＳ Ｐゴシック"/>
      <family val="2"/>
      <scheme val="minor"/>
    </font>
    <font>
      <sz val="12"/>
      <name val="ＭＳ Ｐゴシック"/>
      <family val="2"/>
      <scheme val="minor"/>
    </font>
    <font>
      <sz val="12"/>
      <color rgb="FFFF0000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12"/>
      <color rgb="FF00B050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0" fontId="2" fillId="0" borderId="0" xfId="0" applyFont="1"/>
    <xf numFmtId="176" fontId="0" fillId="0" borderId="0" xfId="1" applyNumberFormat="1" applyFont="1" applyAlignment="1"/>
    <xf numFmtId="0" fontId="5" fillId="0" borderId="0" xfId="0" applyFont="1"/>
    <xf numFmtId="0" fontId="4" fillId="0" borderId="0" xfId="0" applyFont="1"/>
    <xf numFmtId="0" fontId="7" fillId="0" borderId="0" xfId="0" applyFont="1"/>
    <xf numFmtId="0" fontId="6" fillId="0" borderId="0" xfId="0" applyFont="1"/>
    <xf numFmtId="0" fontId="8" fillId="0" borderId="0" xfId="0" applyFont="1"/>
    <xf numFmtId="38" fontId="0" fillId="0" borderId="0" xfId="2" applyFont="1" applyAlignment="1"/>
  </cellXfs>
  <cellStyles count="3">
    <cellStyle name="パーセント" xfId="1" builtinId="5"/>
    <cellStyle name="桁区切り" xfId="2" builtinId="6"/>
    <cellStyle name="標準" xfId="0" builtinId="0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4386CB3-E8A6-47DA-9C6D-2097B8927E7C}" name="Table009__Page_6" displayName="Table009__Page_6" ref="A1:D18" totalsRowShown="0">
  <autoFilter ref="A1:D18" xr:uid="{C4386CB3-E8A6-47DA-9C6D-2097B8927E7C}"/>
  <tableColumns count="4">
    <tableColumn id="1" xr3:uid="{3F51B78E-3E4B-4654-A72B-E2AF4635C3F6}" name="Revenue:" dataDxfId="1"/>
    <tableColumn id="2" xr3:uid="{67347CAD-A0DD-4970-AED2-FABCC43AC760}" name="26" dataCellStyle="桁区切り"/>
    <tableColumn id="3" xr3:uid="{9368C207-025A-4301-BE50-2DB580FF7C4A}" name="25" dataCellStyle="桁区切り"/>
    <tableColumn id="4" xr3:uid="{ECF7A1EA-EE21-4597-94DF-1CE2FCDB6B78}" name="yoy" dataDxfId="0">
      <calculatedColumnFormula>ROUND((B2-C2)/C2*100,1)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7"/>
  <sheetViews>
    <sheetView workbookViewId="0"/>
  </sheetViews>
  <sheetFormatPr defaultRowHeight="14.4" x14ac:dyDescent="0.2"/>
  <cols>
    <col min="1" max="1" width="48.19921875" customWidth="1"/>
    <col min="2" max="2" width="9.8984375" bestFit="1" customWidth="1"/>
    <col min="3" max="3" width="6.5" bestFit="1" customWidth="1"/>
    <col min="4" max="4" width="18.3984375" bestFit="1" customWidth="1"/>
    <col min="5" max="5" width="16.19921875" bestFit="1" customWidth="1"/>
    <col min="6" max="6" width="16.19921875" customWidth="1"/>
    <col min="7" max="7" width="9.5" bestFit="1" customWidth="1"/>
    <col min="8" max="8" width="8.69921875" bestFit="1" customWidth="1"/>
    <col min="9" max="9" width="20.19921875" bestFit="1" customWidth="1"/>
    <col min="10" max="10" width="22.5" bestFit="1" customWidth="1"/>
    <col min="11" max="11" width="12.3984375" bestFit="1" customWidth="1"/>
    <col min="13" max="13" width="9.59765625" bestFit="1" customWidth="1"/>
  </cols>
  <sheetData>
    <row r="1" spans="1:13" x14ac:dyDescent="0.2">
      <c r="A1" t="s">
        <v>27</v>
      </c>
      <c r="B1" t="s">
        <v>28</v>
      </c>
      <c r="C1" t="s">
        <v>29</v>
      </c>
      <c r="D1" t="s">
        <v>11</v>
      </c>
      <c r="E1" t="s">
        <v>26</v>
      </c>
      <c r="F1" t="s">
        <v>61</v>
      </c>
      <c r="G1" t="s">
        <v>12</v>
      </c>
      <c r="H1" t="s">
        <v>9</v>
      </c>
      <c r="I1" t="s">
        <v>10</v>
      </c>
      <c r="J1" t="s">
        <v>8</v>
      </c>
      <c r="K1" t="s">
        <v>7</v>
      </c>
      <c r="L1" t="s">
        <v>19</v>
      </c>
      <c r="M1" t="s">
        <v>6</v>
      </c>
    </row>
    <row r="2" spans="1:13" ht="19.2" x14ac:dyDescent="0.45">
      <c r="A2" t="s">
        <v>55</v>
      </c>
      <c r="B2" s="2">
        <v>-30.8</v>
      </c>
      <c r="C2" s="1" t="s">
        <v>37</v>
      </c>
      <c r="D2" t="str">
        <f t="shared" ref="D2:D17" si="0">B2&amp;"%"&amp;C2</f>
        <v>-30.8%💧</v>
      </c>
      <c r="I2" t="s">
        <v>4</v>
      </c>
      <c r="J2">
        <v>0.9</v>
      </c>
      <c r="K2">
        <v>30</v>
      </c>
    </row>
    <row r="3" spans="1:13" ht="19.2" x14ac:dyDescent="0.45">
      <c r="A3" t="s">
        <v>57</v>
      </c>
      <c r="B3" s="2">
        <v>-24.5</v>
      </c>
      <c r="C3" s="1" t="s">
        <v>37</v>
      </c>
      <c r="D3" t="str">
        <f t="shared" si="0"/>
        <v>-24.5%💧</v>
      </c>
      <c r="I3" t="s">
        <v>4</v>
      </c>
      <c r="J3">
        <v>0.9</v>
      </c>
      <c r="K3">
        <v>30</v>
      </c>
    </row>
    <row r="4" spans="1:13" ht="19.2" x14ac:dyDescent="0.45">
      <c r="A4" t="s">
        <v>39</v>
      </c>
      <c r="B4" s="2">
        <v>-30.5</v>
      </c>
      <c r="C4" s="1" t="s">
        <v>37</v>
      </c>
      <c r="D4" t="str">
        <f t="shared" si="0"/>
        <v>-30.5%💧</v>
      </c>
      <c r="F4" t="b">
        <v>1</v>
      </c>
      <c r="I4" t="s">
        <v>4</v>
      </c>
      <c r="J4">
        <v>0.9</v>
      </c>
      <c r="K4">
        <v>30</v>
      </c>
    </row>
    <row r="5" spans="1:13" ht="19.2" x14ac:dyDescent="0.45">
      <c r="A5" t="s">
        <v>40</v>
      </c>
      <c r="B5" s="2">
        <v>-35.4</v>
      </c>
      <c r="C5" s="1" t="s">
        <v>36</v>
      </c>
      <c r="D5" t="str">
        <f t="shared" si="0"/>
        <v>-35.4%🌤️</v>
      </c>
      <c r="I5" t="s">
        <v>5</v>
      </c>
      <c r="J5">
        <v>0.9</v>
      </c>
      <c r="K5">
        <v>30</v>
      </c>
    </row>
    <row r="6" spans="1:13" ht="19.2" x14ac:dyDescent="0.45">
      <c r="A6" t="s">
        <v>41</v>
      </c>
      <c r="B6" s="2">
        <v>47.9</v>
      </c>
      <c r="C6" s="1" t="s">
        <v>37</v>
      </c>
      <c r="D6" t="str">
        <f t="shared" si="0"/>
        <v>47.9%💧</v>
      </c>
      <c r="I6" t="s">
        <v>5</v>
      </c>
      <c r="J6">
        <v>0.9</v>
      </c>
      <c r="K6">
        <v>30</v>
      </c>
    </row>
    <row r="7" spans="1:13" ht="19.2" x14ac:dyDescent="0.45">
      <c r="A7" t="s">
        <v>30</v>
      </c>
      <c r="B7" s="2">
        <v>7.9</v>
      </c>
      <c r="C7" s="1" t="s">
        <v>37</v>
      </c>
      <c r="D7" t="str">
        <f t="shared" si="0"/>
        <v>7.9%💧</v>
      </c>
      <c r="I7" t="s">
        <v>5</v>
      </c>
      <c r="J7">
        <v>0.9</v>
      </c>
      <c r="K7">
        <v>30</v>
      </c>
    </row>
    <row r="8" spans="1:13" ht="19.2" x14ac:dyDescent="0.45">
      <c r="A8" t="s">
        <v>31</v>
      </c>
      <c r="B8" s="2">
        <v>-4.5999999999999996</v>
      </c>
      <c r="C8" s="1" t="s">
        <v>36</v>
      </c>
      <c r="D8" t="str">
        <f t="shared" si="0"/>
        <v>-4.6%🌤️</v>
      </c>
      <c r="I8" t="s">
        <v>5</v>
      </c>
      <c r="J8">
        <v>0.9</v>
      </c>
      <c r="K8">
        <v>30</v>
      </c>
    </row>
    <row r="9" spans="1:13" ht="19.2" x14ac:dyDescent="0.45">
      <c r="A9" t="s">
        <v>47</v>
      </c>
      <c r="B9" s="2">
        <v>2.2999999999999998</v>
      </c>
      <c r="C9" s="1" t="s">
        <v>37</v>
      </c>
      <c r="D9" t="str">
        <f t="shared" si="0"/>
        <v>2.3%💧</v>
      </c>
      <c r="I9" t="s">
        <v>5</v>
      </c>
      <c r="J9">
        <v>0.9</v>
      </c>
      <c r="K9">
        <v>30</v>
      </c>
    </row>
    <row r="10" spans="1:13" ht="19.2" x14ac:dyDescent="0.45">
      <c r="A10" t="s">
        <v>48</v>
      </c>
      <c r="B10">
        <v>-692</v>
      </c>
      <c r="C10" s="1" t="s">
        <v>37</v>
      </c>
      <c r="D10" t="str">
        <f t="shared" si="0"/>
        <v>-692%💧</v>
      </c>
      <c r="I10" t="s">
        <v>5</v>
      </c>
      <c r="J10">
        <v>0.9</v>
      </c>
      <c r="K10">
        <v>30</v>
      </c>
    </row>
    <row r="11" spans="1:13" ht="19.2" x14ac:dyDescent="0.45">
      <c r="A11" t="s">
        <v>49</v>
      </c>
      <c r="B11">
        <v>-103</v>
      </c>
      <c r="C11" s="1" t="s">
        <v>37</v>
      </c>
      <c r="D11" t="str">
        <f t="shared" si="0"/>
        <v>-103%💧</v>
      </c>
      <c r="I11" t="s">
        <v>5</v>
      </c>
      <c r="J11">
        <v>0.9</v>
      </c>
      <c r="K11">
        <v>30</v>
      </c>
    </row>
    <row r="12" spans="1:13" ht="19.2" x14ac:dyDescent="0.45">
      <c r="A12" t="s">
        <v>32</v>
      </c>
      <c r="B12">
        <v>10</v>
      </c>
      <c r="C12" s="1" t="s">
        <v>37</v>
      </c>
      <c r="D12" t="str">
        <f t="shared" si="0"/>
        <v>10%💧</v>
      </c>
      <c r="I12" t="s">
        <v>5</v>
      </c>
      <c r="J12">
        <v>0.9</v>
      </c>
      <c r="K12">
        <v>30</v>
      </c>
    </row>
    <row r="13" spans="1:13" ht="19.2" x14ac:dyDescent="0.45">
      <c r="A13" t="s">
        <v>50</v>
      </c>
      <c r="B13">
        <v>-19.2</v>
      </c>
      <c r="C13" s="1" t="s">
        <v>36</v>
      </c>
      <c r="D13" t="str">
        <f t="shared" si="0"/>
        <v>-19.2%🌤️</v>
      </c>
      <c r="I13" t="s">
        <v>5</v>
      </c>
      <c r="J13">
        <v>0.9</v>
      </c>
      <c r="K13">
        <v>30</v>
      </c>
    </row>
    <row r="14" spans="1:13" ht="19.2" x14ac:dyDescent="0.45">
      <c r="A14" t="s">
        <v>51</v>
      </c>
      <c r="C14" s="1" t="s">
        <v>36</v>
      </c>
      <c r="D14" t="str">
        <f t="shared" si="0"/>
        <v>%🌤️</v>
      </c>
      <c r="I14" t="s">
        <v>44</v>
      </c>
      <c r="J14">
        <v>0.9</v>
      </c>
      <c r="K14">
        <v>30</v>
      </c>
    </row>
    <row r="15" spans="1:13" ht="19.2" x14ac:dyDescent="0.45">
      <c r="A15" t="s">
        <v>42</v>
      </c>
      <c r="B15">
        <v>-663.6</v>
      </c>
      <c r="C15" s="1" t="s">
        <v>37</v>
      </c>
      <c r="D15" t="str">
        <f t="shared" si="0"/>
        <v>-663.6%💧</v>
      </c>
      <c r="I15" t="s">
        <v>5</v>
      </c>
      <c r="J15">
        <v>0.9</v>
      </c>
      <c r="K15">
        <v>30</v>
      </c>
    </row>
    <row r="16" spans="1:13" ht="19.2" x14ac:dyDescent="0.45">
      <c r="A16" t="s">
        <v>52</v>
      </c>
      <c r="C16" s="1" t="s">
        <v>36</v>
      </c>
      <c r="D16" t="str">
        <f t="shared" si="0"/>
        <v>%🌤️</v>
      </c>
      <c r="I16" t="s">
        <v>44</v>
      </c>
      <c r="J16">
        <v>0.9</v>
      </c>
      <c r="K16">
        <v>30</v>
      </c>
    </row>
    <row r="17" spans="1:11" ht="19.2" x14ac:dyDescent="0.45">
      <c r="A17" t="s">
        <v>43</v>
      </c>
      <c r="B17">
        <v>-700.7</v>
      </c>
      <c r="C17" s="1" t="s">
        <v>37</v>
      </c>
      <c r="D17" t="str">
        <f t="shared" si="0"/>
        <v>-700.7%💧</v>
      </c>
      <c r="I17" t="s">
        <v>5</v>
      </c>
      <c r="J17">
        <v>0.9</v>
      </c>
      <c r="K17">
        <v>30</v>
      </c>
    </row>
  </sheetData>
  <phoneticPr fontId="1"/>
  <pageMargins left="0.7" right="0.7" top="0.75" bottom="0.75" header="0.3" footer="0.3"/>
  <pageSetup paperSize="9" orientation="portrait" r:id="rId1"/>
  <ignoredErrors>
    <ignoredError sqref="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8"/>
  <sheetViews>
    <sheetView workbookViewId="0">
      <selection activeCell="A14" sqref="A14"/>
    </sheetView>
  </sheetViews>
  <sheetFormatPr defaultRowHeight="14.4" x14ac:dyDescent="0.2"/>
  <cols>
    <col min="1" max="1" width="35.19921875" customWidth="1"/>
    <col min="2" max="2" width="43.59765625" customWidth="1"/>
    <col min="3" max="4" width="9.19921875" bestFit="1" customWidth="1"/>
    <col min="5" max="5" width="6.5" bestFit="1" customWidth="1"/>
    <col min="6" max="6" width="9" bestFit="1" customWidth="1"/>
    <col min="7" max="7" width="12.69921875" bestFit="1" customWidth="1"/>
    <col min="8" max="8" width="10" bestFit="1" customWidth="1"/>
    <col min="9" max="9" width="21.69921875" bestFit="1" customWidth="1"/>
    <col min="10" max="10" width="22.59765625" bestFit="1" customWidth="1"/>
    <col min="11" max="11" width="15" bestFit="1" customWidth="1"/>
    <col min="12" max="12" width="15.59765625" bestFit="1" customWidth="1"/>
    <col min="13" max="13" width="12.3984375" bestFit="1" customWidth="1"/>
    <col min="14" max="14" width="12.59765625" bestFit="1" customWidth="1"/>
  </cols>
  <sheetData>
    <row r="1" spans="1:14" x14ac:dyDescent="0.2">
      <c r="A1" t="s">
        <v>1</v>
      </c>
      <c r="B1" t="s">
        <v>2</v>
      </c>
      <c r="C1" t="s">
        <v>3</v>
      </c>
      <c r="D1" t="s">
        <v>27</v>
      </c>
      <c r="E1" t="s">
        <v>0</v>
      </c>
      <c r="F1" t="s">
        <v>19</v>
      </c>
      <c r="G1" t="s">
        <v>13</v>
      </c>
      <c r="H1" t="s">
        <v>9</v>
      </c>
      <c r="I1" t="s">
        <v>14</v>
      </c>
      <c r="J1" t="s">
        <v>15</v>
      </c>
      <c r="K1" t="s">
        <v>16</v>
      </c>
      <c r="L1" t="s">
        <v>17</v>
      </c>
      <c r="M1" t="s">
        <v>7</v>
      </c>
      <c r="N1" t="s">
        <v>18</v>
      </c>
    </row>
    <row r="2" spans="1:14" x14ac:dyDescent="0.2">
      <c r="A2" s="5" t="s">
        <v>55</v>
      </c>
      <c r="B2" s="5" t="s">
        <v>39</v>
      </c>
      <c r="C2" s="3">
        <v>1339348</v>
      </c>
      <c r="D2" s="3">
        <f t="shared" ref="D2:D3" si="0">C2</f>
        <v>1339348</v>
      </c>
      <c r="G2" t="s">
        <v>60</v>
      </c>
      <c r="H2" t="str">
        <f t="shared" ref="H2:H3" si="1">G2</f>
        <v>Gray</v>
      </c>
      <c r="I2" t="str">
        <f t="shared" ref="I2:I3" si="2">G2</f>
        <v>Gray</v>
      </c>
      <c r="J2" t="s">
        <v>38</v>
      </c>
      <c r="K2">
        <v>0.2</v>
      </c>
      <c r="L2">
        <v>1</v>
      </c>
      <c r="M2">
        <v>32</v>
      </c>
    </row>
    <row r="3" spans="1:14" x14ac:dyDescent="0.2">
      <c r="A3" s="5" t="s">
        <v>57</v>
      </c>
      <c r="B3" s="5" t="s">
        <v>39</v>
      </c>
      <c r="C3" s="3">
        <v>73634</v>
      </c>
      <c r="D3" s="3">
        <f t="shared" si="0"/>
        <v>73634</v>
      </c>
      <c r="G3" t="s">
        <v>60</v>
      </c>
      <c r="H3" t="str">
        <f t="shared" si="1"/>
        <v>Gray</v>
      </c>
      <c r="I3" t="str">
        <f t="shared" si="2"/>
        <v>Gray</v>
      </c>
      <c r="J3" t="s">
        <v>38</v>
      </c>
      <c r="K3">
        <v>0.2</v>
      </c>
      <c r="L3">
        <v>1</v>
      </c>
      <c r="M3">
        <v>32</v>
      </c>
    </row>
    <row r="4" spans="1:14" x14ac:dyDescent="0.2">
      <c r="A4" s="5" t="s">
        <v>39</v>
      </c>
      <c r="B4" s="5" t="s">
        <v>40</v>
      </c>
      <c r="C4" s="3">
        <v>195859</v>
      </c>
      <c r="D4" s="3">
        <f t="shared" ref="D4:D15" si="3">C4</f>
        <v>195859</v>
      </c>
      <c r="G4" t="s">
        <v>5</v>
      </c>
      <c r="H4" t="str">
        <f t="shared" ref="H4:H11" si="4">G4</f>
        <v>Red</v>
      </c>
      <c r="I4" t="str">
        <f t="shared" ref="I4:I11" si="5">G4</f>
        <v>Red</v>
      </c>
      <c r="J4" t="s">
        <v>38</v>
      </c>
      <c r="K4">
        <v>0.2</v>
      </c>
      <c r="L4">
        <v>1</v>
      </c>
      <c r="M4">
        <v>32</v>
      </c>
    </row>
    <row r="5" spans="1:14" x14ac:dyDescent="0.2">
      <c r="A5" s="5" t="s">
        <v>39</v>
      </c>
      <c r="B5" s="5" t="s">
        <v>41</v>
      </c>
      <c r="C5" s="3">
        <v>525648</v>
      </c>
      <c r="D5" s="3">
        <f t="shared" si="3"/>
        <v>525648</v>
      </c>
      <c r="G5" t="s">
        <v>5</v>
      </c>
      <c r="H5" t="str">
        <f t="shared" si="4"/>
        <v>Red</v>
      </c>
      <c r="I5" t="str">
        <f t="shared" si="5"/>
        <v>Red</v>
      </c>
      <c r="J5" t="s">
        <v>38</v>
      </c>
      <c r="K5">
        <v>0.2</v>
      </c>
      <c r="L5">
        <v>1</v>
      </c>
      <c r="M5">
        <v>32</v>
      </c>
    </row>
    <row r="6" spans="1:14" x14ac:dyDescent="0.2">
      <c r="A6" s="5" t="s">
        <v>39</v>
      </c>
      <c r="B6" s="5" t="s">
        <v>30</v>
      </c>
      <c r="C6" s="3">
        <v>266726</v>
      </c>
      <c r="D6" s="3">
        <f t="shared" si="3"/>
        <v>266726</v>
      </c>
      <c r="G6" t="s">
        <v>5</v>
      </c>
      <c r="H6" t="str">
        <f t="shared" si="4"/>
        <v>Red</v>
      </c>
      <c r="I6" t="str">
        <f t="shared" si="5"/>
        <v>Red</v>
      </c>
      <c r="J6" t="s">
        <v>38</v>
      </c>
      <c r="K6">
        <v>0.2</v>
      </c>
      <c r="L6">
        <v>1</v>
      </c>
      <c r="M6">
        <v>32</v>
      </c>
    </row>
    <row r="7" spans="1:14" x14ac:dyDescent="0.2">
      <c r="A7" s="5" t="s">
        <v>39</v>
      </c>
      <c r="B7" s="5" t="s">
        <v>31</v>
      </c>
      <c r="C7" s="3">
        <v>376094</v>
      </c>
      <c r="D7" s="3">
        <f t="shared" si="3"/>
        <v>376094</v>
      </c>
      <c r="G7" t="s">
        <v>5</v>
      </c>
      <c r="H7" t="str">
        <f t="shared" si="4"/>
        <v>Red</v>
      </c>
      <c r="I7" t="str">
        <f t="shared" si="5"/>
        <v>Red</v>
      </c>
      <c r="J7" t="s">
        <v>38</v>
      </c>
      <c r="K7">
        <v>0.2</v>
      </c>
      <c r="L7">
        <v>1</v>
      </c>
      <c r="M7">
        <v>32</v>
      </c>
    </row>
    <row r="8" spans="1:14" x14ac:dyDescent="0.2">
      <c r="A8" s="5" t="s">
        <v>39</v>
      </c>
      <c r="B8" s="5" t="s">
        <v>47</v>
      </c>
      <c r="C8" s="3">
        <v>35151</v>
      </c>
      <c r="D8" s="3">
        <f t="shared" si="3"/>
        <v>35151</v>
      </c>
      <c r="G8" t="s">
        <v>5</v>
      </c>
      <c r="H8" t="str">
        <f t="shared" si="4"/>
        <v>Red</v>
      </c>
      <c r="I8" t="str">
        <f t="shared" si="5"/>
        <v>Red</v>
      </c>
      <c r="J8" t="s">
        <v>38</v>
      </c>
      <c r="K8">
        <v>0.2</v>
      </c>
      <c r="L8">
        <v>1</v>
      </c>
      <c r="M8">
        <v>32</v>
      </c>
    </row>
    <row r="9" spans="1:14" x14ac:dyDescent="0.2">
      <c r="A9" s="5" t="s">
        <v>39</v>
      </c>
      <c r="B9" s="5" t="s">
        <v>48</v>
      </c>
      <c r="C9" s="3">
        <v>34925</v>
      </c>
      <c r="D9" s="3">
        <f t="shared" si="3"/>
        <v>34925</v>
      </c>
      <c r="G9" t="s">
        <v>5</v>
      </c>
      <c r="H9" t="str">
        <f t="shared" si="4"/>
        <v>Red</v>
      </c>
      <c r="I9" t="str">
        <f t="shared" si="5"/>
        <v>Red</v>
      </c>
      <c r="J9" t="s">
        <v>38</v>
      </c>
      <c r="K9">
        <v>0.2</v>
      </c>
      <c r="L9">
        <v>1</v>
      </c>
      <c r="M9">
        <v>32</v>
      </c>
    </row>
    <row r="10" spans="1:14" x14ac:dyDescent="0.2">
      <c r="A10" s="5" t="s">
        <v>39</v>
      </c>
      <c r="B10" s="5" t="s">
        <v>49</v>
      </c>
      <c r="C10" s="4">
        <v>21421</v>
      </c>
      <c r="D10" s="3">
        <f t="shared" si="3"/>
        <v>21421</v>
      </c>
      <c r="G10" t="s">
        <v>5</v>
      </c>
      <c r="H10" t="str">
        <f t="shared" si="4"/>
        <v>Red</v>
      </c>
      <c r="I10" t="str">
        <f t="shared" si="5"/>
        <v>Red</v>
      </c>
      <c r="J10" t="s">
        <v>38</v>
      </c>
      <c r="K10">
        <v>0.2</v>
      </c>
      <c r="L10">
        <v>1</v>
      </c>
      <c r="M10">
        <v>32</v>
      </c>
    </row>
    <row r="11" spans="1:14" x14ac:dyDescent="0.2">
      <c r="A11" s="5" t="s">
        <v>49</v>
      </c>
      <c r="B11" s="5" t="s">
        <v>32</v>
      </c>
      <c r="C11" s="3">
        <v>22569</v>
      </c>
      <c r="D11" s="3">
        <f t="shared" si="3"/>
        <v>22569</v>
      </c>
      <c r="G11" t="s">
        <v>5</v>
      </c>
      <c r="H11" t="str">
        <f t="shared" si="4"/>
        <v>Red</v>
      </c>
      <c r="I11" t="str">
        <f t="shared" si="5"/>
        <v>Red</v>
      </c>
      <c r="J11" t="s">
        <v>38</v>
      </c>
      <c r="K11">
        <v>0.2</v>
      </c>
      <c r="L11">
        <v>1</v>
      </c>
      <c r="M11">
        <v>32</v>
      </c>
    </row>
    <row r="12" spans="1:14" x14ac:dyDescent="0.2">
      <c r="A12" s="5" t="s">
        <v>49</v>
      </c>
      <c r="B12" s="5" t="s">
        <v>50</v>
      </c>
      <c r="C12" s="3">
        <v>482356</v>
      </c>
      <c r="D12" s="3">
        <f t="shared" si="3"/>
        <v>482356</v>
      </c>
      <c r="G12" t="s">
        <v>5</v>
      </c>
      <c r="H12" t="str">
        <f>G12</f>
        <v>Red</v>
      </c>
      <c r="I12" t="str">
        <f>G12</f>
        <v>Red</v>
      </c>
      <c r="J12" t="s">
        <v>38</v>
      </c>
      <c r="K12">
        <v>0.2</v>
      </c>
      <c r="L12">
        <v>1</v>
      </c>
      <c r="M12">
        <v>32</v>
      </c>
    </row>
    <row r="13" spans="1:14" x14ac:dyDescent="0.2">
      <c r="A13" s="7" t="s">
        <v>51</v>
      </c>
      <c r="B13" s="7" t="s">
        <v>49</v>
      </c>
      <c r="C13" s="7">
        <v>61641</v>
      </c>
      <c r="D13" s="3">
        <f t="shared" si="3"/>
        <v>61641</v>
      </c>
      <c r="G13" t="s">
        <v>44</v>
      </c>
      <c r="H13" t="str">
        <f t="shared" ref="H13" si="6">G13</f>
        <v>Green</v>
      </c>
      <c r="I13" t="str">
        <f t="shared" ref="I13" si="7">G13</f>
        <v>Green</v>
      </c>
      <c r="J13" t="s">
        <v>38</v>
      </c>
      <c r="K13">
        <v>0.2</v>
      </c>
      <c r="L13">
        <v>1</v>
      </c>
      <c r="M13">
        <v>32</v>
      </c>
    </row>
    <row r="14" spans="1:14" x14ac:dyDescent="0.2">
      <c r="A14" s="6" t="s">
        <v>49</v>
      </c>
      <c r="B14" s="6" t="s">
        <v>42</v>
      </c>
      <c r="C14" s="6">
        <v>464705</v>
      </c>
      <c r="D14" s="3">
        <f t="shared" si="3"/>
        <v>464705</v>
      </c>
      <c r="G14" t="s">
        <v>5</v>
      </c>
      <c r="H14" t="str">
        <f t="shared" ref="H14:H15" si="8">G14</f>
        <v>Red</v>
      </c>
      <c r="I14" t="str">
        <f t="shared" ref="I14:I15" si="9">G14</f>
        <v>Red</v>
      </c>
      <c r="J14" t="s">
        <v>38</v>
      </c>
      <c r="K14">
        <v>0.2</v>
      </c>
      <c r="L14">
        <v>1</v>
      </c>
      <c r="M14">
        <v>32</v>
      </c>
    </row>
    <row r="15" spans="1:14" x14ac:dyDescent="0.2">
      <c r="A15" s="7" t="s">
        <v>52</v>
      </c>
      <c r="B15" s="7" t="s">
        <v>42</v>
      </c>
      <c r="C15" s="7">
        <v>70588</v>
      </c>
      <c r="D15" s="3">
        <f t="shared" si="3"/>
        <v>70588</v>
      </c>
      <c r="G15" t="s">
        <v>44</v>
      </c>
      <c r="H15" t="str">
        <f t="shared" si="8"/>
        <v>Green</v>
      </c>
      <c r="I15" t="str">
        <f t="shared" si="9"/>
        <v>Green</v>
      </c>
      <c r="J15" t="s">
        <v>38</v>
      </c>
      <c r="K15">
        <v>0.2</v>
      </c>
      <c r="L15">
        <v>1</v>
      </c>
      <c r="M15">
        <v>32</v>
      </c>
    </row>
    <row r="16" spans="1:14" x14ac:dyDescent="0.2">
      <c r="A16" s="6" t="s">
        <v>42</v>
      </c>
      <c r="B16" s="6" t="s">
        <v>43</v>
      </c>
      <c r="C16" s="6">
        <v>394117</v>
      </c>
      <c r="D16" s="3">
        <f t="shared" ref="D16" si="10">C16</f>
        <v>394117</v>
      </c>
      <c r="G16" t="s">
        <v>5</v>
      </c>
      <c r="H16" t="str">
        <f t="shared" ref="H16" si="11">G16</f>
        <v>Red</v>
      </c>
      <c r="I16" t="str">
        <f t="shared" ref="I16" si="12">G16</f>
        <v>Red</v>
      </c>
      <c r="J16" t="s">
        <v>38</v>
      </c>
      <c r="K16">
        <v>0.2</v>
      </c>
      <c r="L16">
        <v>1</v>
      </c>
      <c r="M16">
        <v>32</v>
      </c>
    </row>
    <row r="17" spans="3:4" x14ac:dyDescent="0.2">
      <c r="C17" s="3"/>
      <c r="D17" s="3"/>
    </row>
    <row r="18" spans="3:4" x14ac:dyDescent="0.2">
      <c r="C18" s="3"/>
      <c r="D18" s="3"/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21929-4EC3-4365-9D0A-9D6D19243C35}">
  <dimension ref="A1:D18"/>
  <sheetViews>
    <sheetView workbookViewId="0">
      <selection activeCell="A12" sqref="A12"/>
    </sheetView>
  </sheetViews>
  <sheetFormatPr defaultRowHeight="14.4" x14ac:dyDescent="0.2"/>
  <cols>
    <col min="1" max="1" width="45" bestFit="1" customWidth="1"/>
    <col min="2" max="3" width="11.19921875" style="8" bestFit="1" customWidth="1"/>
  </cols>
  <sheetData>
    <row r="1" spans="1:4" x14ac:dyDescent="0.2">
      <c r="A1" t="s">
        <v>46</v>
      </c>
      <c r="B1" s="8" t="s">
        <v>53</v>
      </c>
      <c r="C1" s="8" t="s">
        <v>54</v>
      </c>
      <c r="D1" t="s">
        <v>45</v>
      </c>
    </row>
    <row r="2" spans="1:4" x14ac:dyDescent="0.2">
      <c r="A2" t="s">
        <v>56</v>
      </c>
      <c r="B2" s="8">
        <v>1339348</v>
      </c>
      <c r="C2" s="8">
        <v>1936821</v>
      </c>
      <c r="D2">
        <f t="shared" ref="D2:D18" si="0">ROUND((B2-C2)/C2*100,1)</f>
        <v>-30.8</v>
      </c>
    </row>
    <row r="3" spans="1:4" x14ac:dyDescent="0.2">
      <c r="A3" t="s">
        <v>58</v>
      </c>
      <c r="B3" s="8">
        <v>73634</v>
      </c>
      <c r="C3" s="8">
        <v>97474</v>
      </c>
      <c r="D3">
        <f>ROUND((B3-C3)/C3*100,1)</f>
        <v>-24.5</v>
      </c>
    </row>
    <row r="4" spans="1:4" x14ac:dyDescent="0.2">
      <c r="A4" t="s">
        <v>59</v>
      </c>
      <c r="B4" s="8">
        <v>1412982</v>
      </c>
      <c r="C4" s="8">
        <v>2034295</v>
      </c>
      <c r="D4">
        <f>ROUND((B4-C4)/C4*100,1)</f>
        <v>-30.5</v>
      </c>
    </row>
    <row r="5" spans="1:4" x14ac:dyDescent="0.2">
      <c r="A5" t="s">
        <v>40</v>
      </c>
      <c r="B5" s="8">
        <v>195859</v>
      </c>
      <c r="C5" s="8">
        <v>303026</v>
      </c>
      <c r="D5">
        <f t="shared" si="0"/>
        <v>-35.4</v>
      </c>
    </row>
    <row r="6" spans="1:4" x14ac:dyDescent="0.2">
      <c r="A6" t="s">
        <v>41</v>
      </c>
      <c r="B6" s="8">
        <v>525648</v>
      </c>
      <c r="C6" s="8">
        <v>355368</v>
      </c>
      <c r="D6">
        <f t="shared" si="0"/>
        <v>47.9</v>
      </c>
    </row>
    <row r="7" spans="1:4" x14ac:dyDescent="0.2">
      <c r="A7" t="s">
        <v>30</v>
      </c>
      <c r="B7" s="8">
        <v>266726</v>
      </c>
      <c r="C7" s="8">
        <v>247283</v>
      </c>
      <c r="D7">
        <f t="shared" si="0"/>
        <v>7.9</v>
      </c>
    </row>
    <row r="8" spans="1:4" x14ac:dyDescent="0.2">
      <c r="A8" t="s">
        <v>31</v>
      </c>
      <c r="B8" s="8">
        <v>376094</v>
      </c>
      <c r="C8" s="8">
        <v>394346</v>
      </c>
      <c r="D8">
        <f t="shared" si="0"/>
        <v>-4.5999999999999996</v>
      </c>
    </row>
    <row r="9" spans="1:4" x14ac:dyDescent="0.2">
      <c r="A9" t="s">
        <v>47</v>
      </c>
      <c r="B9" s="8">
        <v>35151</v>
      </c>
      <c r="C9" s="8">
        <v>34365</v>
      </c>
      <c r="D9">
        <f t="shared" si="0"/>
        <v>2.2999999999999998</v>
      </c>
    </row>
    <row r="10" spans="1:4" x14ac:dyDescent="0.2">
      <c r="A10" t="s">
        <v>48</v>
      </c>
      <c r="B10" s="8">
        <v>34925</v>
      </c>
      <c r="C10" s="8">
        <v>-5899</v>
      </c>
      <c r="D10">
        <f t="shared" si="0"/>
        <v>-692</v>
      </c>
    </row>
    <row r="12" spans="1:4" x14ac:dyDescent="0.2">
      <c r="A12" t="s">
        <v>49</v>
      </c>
      <c r="B12" s="8">
        <v>-21421</v>
      </c>
      <c r="C12" s="8">
        <v>705806</v>
      </c>
      <c r="D12">
        <f t="shared" si="0"/>
        <v>-103</v>
      </c>
    </row>
    <row r="13" spans="1:4" x14ac:dyDescent="0.2">
      <c r="A13" t="s">
        <v>32</v>
      </c>
      <c r="B13" s="8">
        <v>22569</v>
      </c>
      <c r="C13" s="8">
        <v>20511</v>
      </c>
      <c r="D13">
        <f t="shared" si="0"/>
        <v>10</v>
      </c>
    </row>
    <row r="14" spans="1:4" x14ac:dyDescent="0.2">
      <c r="A14" t="s">
        <v>50</v>
      </c>
      <c r="B14" s="8">
        <v>482356</v>
      </c>
      <c r="C14" s="8">
        <v>596651</v>
      </c>
      <c r="D14">
        <f t="shared" si="0"/>
        <v>-19.2</v>
      </c>
    </row>
    <row r="15" spans="1:4" x14ac:dyDescent="0.2">
      <c r="A15" t="s">
        <v>51</v>
      </c>
      <c r="B15" s="8">
        <v>-61641</v>
      </c>
      <c r="C15" s="8">
        <v>6188</v>
      </c>
      <c r="D15">
        <f t="shared" si="0"/>
        <v>-1096.0999999999999</v>
      </c>
    </row>
    <row r="16" spans="1:4" x14ac:dyDescent="0.2">
      <c r="A16" t="s">
        <v>42</v>
      </c>
      <c r="B16" s="8">
        <v>-464705</v>
      </c>
      <c r="C16" s="8">
        <v>82456</v>
      </c>
      <c r="D16">
        <f t="shared" si="0"/>
        <v>-663.6</v>
      </c>
    </row>
    <row r="17" spans="1:4" x14ac:dyDescent="0.2">
      <c r="A17" t="s">
        <v>52</v>
      </c>
      <c r="B17" s="8">
        <v>-70588</v>
      </c>
      <c r="C17" s="8">
        <v>16848</v>
      </c>
      <c r="D17">
        <f t="shared" si="0"/>
        <v>-519</v>
      </c>
    </row>
    <row r="18" spans="1:4" x14ac:dyDescent="0.2">
      <c r="A18" t="s">
        <v>43</v>
      </c>
      <c r="B18" s="8">
        <v>-394117</v>
      </c>
      <c r="C18" s="8">
        <v>65608</v>
      </c>
      <c r="D18">
        <f t="shared" si="0"/>
        <v>-700.7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E51E6-C13E-4034-A2BF-A9099434B418}">
  <dimension ref="A1:I2"/>
  <sheetViews>
    <sheetView tabSelected="1" workbookViewId="0">
      <selection activeCell="E2" sqref="E2"/>
    </sheetView>
  </sheetViews>
  <sheetFormatPr defaultRowHeight="14.4" x14ac:dyDescent="0.2"/>
  <cols>
    <col min="1" max="1" width="14" bestFit="1" customWidth="1"/>
    <col min="2" max="2" width="13.8984375" bestFit="1" customWidth="1"/>
    <col min="3" max="3" width="9.19921875" bestFit="1" customWidth="1"/>
    <col min="4" max="4" width="9.09765625" bestFit="1" customWidth="1"/>
    <col min="5" max="5" width="15" bestFit="1" customWidth="1"/>
    <col min="6" max="6" width="14.69921875" bestFit="1" customWidth="1"/>
    <col min="7" max="7" width="12.09765625" bestFit="1" customWidth="1"/>
    <col min="8" max="8" width="12.8984375" bestFit="1" customWidth="1"/>
    <col min="9" max="9" width="13" bestFit="1" customWidth="1"/>
  </cols>
  <sheetData>
    <row r="1" spans="1:9" x14ac:dyDescent="0.2">
      <c r="A1" t="s">
        <v>25</v>
      </c>
      <c r="B1" t="s">
        <v>24</v>
      </c>
      <c r="C1" t="s">
        <v>20</v>
      </c>
      <c r="D1" t="s">
        <v>21</v>
      </c>
      <c r="E1" t="s">
        <v>62</v>
      </c>
      <c r="F1" t="s">
        <v>22</v>
      </c>
      <c r="G1" t="s">
        <v>35</v>
      </c>
      <c r="H1" t="s">
        <v>34</v>
      </c>
      <c r="I1" t="s">
        <v>33</v>
      </c>
    </row>
    <row r="2" spans="1:9" x14ac:dyDescent="0.2">
      <c r="A2" t="s">
        <v>23</v>
      </c>
      <c r="E2" t="b">
        <v>0</v>
      </c>
      <c r="F2" t="b">
        <v>1</v>
      </c>
      <c r="G2" t="b">
        <v>1</v>
      </c>
      <c r="H2">
        <v>0</v>
      </c>
      <c r="I2">
        <v>15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782FBA7EA2E994B9F7097B62E4A85E1" ma:contentTypeVersion="" ma:contentTypeDescription="新しいドキュメントを作成します。" ma:contentTypeScope="" ma:versionID="fab937c8be173dcb9661cf34cfec0cff">
  <xsd:schema xmlns:xsd="http://www.w3.org/2001/XMLSchema" xmlns:xs="http://www.w3.org/2001/XMLSchema" xmlns:p="http://schemas.microsoft.com/office/2006/metadata/properties" xmlns:ns2="d1704697-0a90-4c71-a4aa-af07d1d3fdc9" xmlns:ns3="d9dc673b-9e34-4001-b69a-8484e8c1b815" xmlns:ns4="e77deb97-a418-4714-85c7-85516ffd9823" targetNamespace="http://schemas.microsoft.com/office/2006/metadata/properties" ma:root="true" ma:fieldsID="ee975be754954f23b5832ff12ae38e26" ns2:_="" ns3:_="" ns4:_="">
    <xsd:import namespace="d1704697-0a90-4c71-a4aa-af07d1d3fdc9"/>
    <xsd:import namespace="d9dc673b-9e34-4001-b69a-8484e8c1b815"/>
    <xsd:import namespace="e77deb97-a418-4714-85c7-85516ffd98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704697-0a90-4c71-a4aa-af07d1d3f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401df557-eeb5-435c-8d7c-77a7fa12a9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dc673b-9e34-4001-b69a-8484e8c1b81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6D7F976-0A6A-4B1A-ADA7-7D29164B49AB}" ma:internalName="TaxCatchAll" ma:showField="CatchAllData" ma:web="{e77deb97-a418-4714-85c7-85516ffd9823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7deb97-a418-4714-85c7-85516ffd982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704697-0a90-4c71-a4aa-af07d1d3fdc9">
      <Terms xmlns="http://schemas.microsoft.com/office/infopath/2007/PartnerControls"/>
    </lcf76f155ced4ddcb4097134ff3c332f>
    <TaxCatchAll xmlns="d9dc673b-9e34-4001-b69a-8484e8c1b815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370E365-A5ED-4F2B-B92E-871A4954FF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BCB2E9-D392-4B94-A907-2D2252F258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704697-0a90-4c71-a4aa-af07d1d3fdc9"/>
    <ds:schemaRef ds:uri="d9dc673b-9e34-4001-b69a-8484e8c1b815"/>
    <ds:schemaRef ds:uri="e77deb97-a418-4714-85c7-85516ffd98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9CF7D2F-2A27-4C3C-9922-3528D881A5EA}">
  <ds:schemaRefs>
    <ds:schemaRef ds:uri="http://schemas.microsoft.com/office/2006/documentManagement/types"/>
    <ds:schemaRef ds:uri="e77deb97-a418-4714-85c7-85516ffd9823"/>
    <ds:schemaRef ds:uri="http://schemas.microsoft.com/office/2006/metadata/properties"/>
    <ds:schemaRef ds:uri="d9dc673b-9e34-4001-b69a-8484e8c1b815"/>
    <ds:schemaRef ds:uri="http://purl.org/dc/terms/"/>
    <ds:schemaRef ds:uri="http://purl.org/dc/elements/1.1/"/>
    <ds:schemaRef ds:uri="d1704697-0a90-4c71-a4aa-af07d1d3fdc9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9846024-0BEF-4FF2-A886-FC34D7F5E4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node</vt:lpstr>
      <vt:lpstr>edge</vt:lpstr>
      <vt:lpstr>Table009 (Page 6)</vt:lpstr>
      <vt:lpstr>option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2026-05-21T08:49:55Z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0x010100E782FBA7EA2E994B9F7097B62E4A85E1</vt:lpwstr>
  </property>
  <property fmtid="{D5CDD505-2E9C-101B-9397-08002B2CF9AE}" pid="3" name="MediaServiceImageTags">
    <vt:lpwstr/>
  </property>
</Properties>
</file>